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windowmaster-my.sharepoint.com/personal/aza_dk_windowmaster_com/Documents/99_Other/Documents/GitHub/pyBuildingEnergy/examples/"/>
    </mc:Choice>
  </mc:AlternateContent>
  <xr:revisionPtr revIDLastSave="11" documentId="13_ncr:1_{D98B15CA-71BB-4E34-A4E0-6F07676CE52B}" xr6:coauthVersionLast="47" xr6:coauthVersionMax="47" xr10:uidLastSave="{76A6418D-F777-4802-A8B8-ECEE6D8EF907}"/>
  <bookViews>
    <workbookView xWindow="22932" yWindow="-108" windowWidth="30936" windowHeight="16776" tabRatio="500" xr2:uid="{00000000-000D-0000-FFFF-FFFF00000000}"/>
  </bookViews>
  <sheets>
    <sheet name="README" sheetId="1" r:id="rId1"/>
    <sheet name="Building" sheetId="2" r:id="rId2"/>
    <sheet name="Surfaces" sheetId="3" r:id="rId3"/>
    <sheet name="Profiles" sheetId="4" r:id="rId4"/>
    <sheet name="Summar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5" l="1"/>
  <c r="C21" i="5"/>
  <c r="D20" i="5"/>
  <c r="C20" i="5"/>
  <c r="E20" i="5" s="1"/>
  <c r="D19" i="5"/>
  <c r="C19" i="5"/>
  <c r="D18" i="5"/>
  <c r="C18" i="5"/>
  <c r="E18" i="5" s="1"/>
  <c r="B11" i="5"/>
  <c r="B10" i="5"/>
  <c r="B12" i="5" s="1"/>
  <c r="B7" i="5"/>
  <c r="B6" i="5"/>
  <c r="B5" i="5"/>
  <c r="B4" i="5"/>
  <c r="B3" i="5"/>
  <c r="P13" i="3"/>
  <c r="P12" i="3"/>
  <c r="E21" i="5" l="1"/>
  <c r="B13" i="5"/>
  <c r="E19" i="5"/>
  <c r="B14" i="5"/>
  <c r="B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200-000001000000}">
      <text>
        <r>
          <rPr>
            <sz val="10"/>
            <rFont val="Arial"/>
            <family val="2"/>
          </rPr>
          <t>Name [-]</t>
        </r>
      </text>
    </comment>
    <comment ref="B4" authorId="0" shapeId="0" xr:uid="{00000000-0006-0000-0200-000002000000}">
      <text>
        <r>
          <rPr>
            <sz val="10"/>
            <rFont val="Arial"/>
            <family val="2"/>
          </rPr>
          <t>Type [opaque / transparent]</t>
        </r>
      </text>
    </comment>
    <comment ref="C4" authorId="0" shapeId="0" xr:uid="{00000000-0006-0000-0200-000003000000}">
      <text>
        <r>
          <rPr>
            <sz val="10"/>
            <rFont val="Arial"/>
            <family val="2"/>
          </rPr>
          <t>Boundary [OUTDOORS / GROUND]</t>
        </r>
      </text>
    </comment>
    <comment ref="D4" authorId="0" shapeId="0" xr:uid="{00000000-0006-0000-0200-000004000000}">
      <text>
        <r>
          <rPr>
            <sz val="10"/>
            <rFont val="Arial"/>
            <family val="2"/>
          </rPr>
          <t>Area [m²]</t>
        </r>
      </text>
    </comment>
    <comment ref="E4" authorId="0" shapeId="0" xr:uid="{00000000-0006-0000-0200-000005000000}">
      <text>
        <r>
          <rPr>
            <sz val="10"/>
            <rFont val="Arial"/>
            <family val="2"/>
          </rPr>
          <t>U-value [W/m²K]</t>
        </r>
      </text>
    </comment>
    <comment ref="F4" authorId="0" shapeId="0" xr:uid="{00000000-0006-0000-0200-000006000000}">
      <text>
        <r>
          <rPr>
            <sz val="10"/>
            <rFont val="Arial"/>
            <family val="2"/>
          </rPr>
          <t>Azimuth [° (0=N, 90=E)]</t>
        </r>
      </text>
    </comment>
    <comment ref="G4" authorId="0" shapeId="0" xr:uid="{00000000-0006-0000-0200-000007000000}">
      <text>
        <r>
          <rPr>
            <sz val="10"/>
            <rFont val="Arial"/>
            <family val="2"/>
          </rPr>
          <t>Tilt [° (0=up, 90=vert)]</t>
        </r>
      </text>
    </comment>
    <comment ref="H4" authorId="0" shapeId="0" xr:uid="{00000000-0006-0000-0200-000008000000}">
      <text>
        <r>
          <rPr>
            <sz val="10"/>
            <rFont val="Arial"/>
            <family val="2"/>
          </rPr>
          <t>Sky view factor [0–1]</t>
        </r>
      </text>
    </comment>
    <comment ref="I4" authorId="0" shapeId="0" xr:uid="{00000000-0006-0000-0200-000009000000}">
      <text>
        <r>
          <rPr>
            <sz val="10"/>
            <rFont val="Arial"/>
            <family val="2"/>
          </rPr>
          <t>Solar absorptance [0–1]</t>
        </r>
      </text>
    </comment>
    <comment ref="J4" authorId="0" shapeId="0" xr:uid="{00000000-0006-0000-0200-00000A000000}">
      <text>
        <r>
          <rPr>
            <sz val="10"/>
            <rFont val="Arial"/>
            <family val="2"/>
          </rPr>
          <t>Areal heat capacity [J/m²K]</t>
        </r>
      </text>
    </comment>
    <comment ref="K4" authorId="0" shapeId="0" xr:uid="{00000000-0006-0000-0200-00000B000000}">
      <text>
        <r>
          <rPr>
            <sz val="10"/>
            <rFont val="Arial"/>
            <family val="2"/>
          </rPr>
          <t>Height [m]</t>
        </r>
      </text>
    </comment>
    <comment ref="L4" authorId="0" shapeId="0" xr:uid="{00000000-0006-0000-0200-00000C000000}">
      <text>
        <r>
          <rPr>
            <sz val="10"/>
            <rFont val="Arial"/>
            <family val="2"/>
          </rPr>
          <t>Length [m (opaque)]</t>
        </r>
      </text>
    </comment>
    <comment ref="M4" authorId="0" shapeId="0" xr:uid="{00000000-0006-0000-0200-00000D000000}">
      <text>
        <r>
          <rPr>
            <sz val="10"/>
            <rFont val="Arial"/>
            <family val="2"/>
          </rPr>
          <t>g-value [0–1]</t>
        </r>
      </text>
    </comment>
    <comment ref="N4" authorId="0" shapeId="0" xr:uid="{00000000-0006-0000-0200-00000E000000}">
      <text>
        <r>
          <rPr>
            <sz val="10"/>
            <rFont val="Arial"/>
            <family val="2"/>
          </rPr>
          <t>Width [m]</t>
        </r>
      </text>
    </comment>
    <comment ref="O4" authorId="0" shapeId="0" xr:uid="{00000000-0006-0000-0200-00000F000000}">
      <text>
        <r>
          <rPr>
            <sz val="10"/>
            <rFont val="Arial"/>
            <family val="2"/>
          </rPr>
          <t>Parapet height [m]</t>
        </r>
      </text>
    </comment>
    <comment ref="P4" authorId="0" shapeId="0" xr:uid="{00000000-0006-0000-0200-000010000000}">
      <text>
        <r>
          <rPr>
            <sz val="10"/>
            <rFont val="Arial"/>
            <family val="2"/>
          </rPr>
          <t>Shading [TRUE / FALSE]</t>
        </r>
      </text>
    </comment>
    <comment ref="Q4" authorId="0" shapeId="0" xr:uid="{00000000-0006-0000-0200-000011000000}">
      <text>
        <r>
          <rPr>
            <sz val="10"/>
            <rFont val="Arial"/>
            <family val="2"/>
          </rPr>
          <t>Shading type [-]</t>
        </r>
      </text>
    </comment>
    <comment ref="R4" authorId="0" shapeId="0" xr:uid="{00000000-0006-0000-0200-000012000000}">
      <text>
        <r>
          <rPr>
            <sz val="10"/>
            <rFont val="Arial"/>
            <family val="2"/>
          </rPr>
          <t>Shading distance [m]</t>
        </r>
      </text>
    </comment>
    <comment ref="S4" authorId="0" shapeId="0" xr:uid="{00000000-0006-0000-0200-000013000000}">
      <text>
        <r>
          <rPr>
            <sz val="10"/>
            <rFont val="Arial"/>
            <family val="2"/>
          </rPr>
          <t>Overhang depth [m]</t>
        </r>
      </text>
    </comment>
  </commentList>
</comments>
</file>

<file path=xl/sharedStrings.xml><?xml version="1.0" encoding="utf-8"?>
<sst xmlns="http://schemas.openxmlformats.org/spreadsheetml/2006/main" count="258" uniqueCount="215">
  <si>
    <t>pyBuildingEnergy – building input (ISO 52016-1)</t>
  </si>
  <si>
    <t>How to use</t>
  </si>
  <si>
    <t>1. Fill in the sheets 'Building', 'Surfaces' and 'Profiles'. Keep this file next to my_building.py (or set EXCEL_FILE in my_building.py).</t>
  </si>
  <si>
    <t>2. Save the workbook, then run:  python run_demand.py</t>
  </si>
  <si>
    <t>3. 'Summary' recalculates automatically (areas, window-to-wall ratio, UA) – use it to sanity-check the input. It is not read by Python.</t>
  </si>
  <si>
    <t>Legend</t>
  </si>
  <si>
    <t>INPUT</t>
  </si>
  <si>
    <t>Window-only input (leave blank for opaque surfaces)</t>
  </si>
  <si>
    <t>Calculated – do not edit</t>
  </si>
  <si>
    <t>Grey keys in column A of 'Building' and the header names in row 4 of 'Surfaces' / 'Profiles' are read by Python – do not rename them.</t>
  </si>
  <si>
    <t>Conventions</t>
  </si>
  <si>
    <t>Azimuth: 0 = North, 90 = East, 180 = South, 270 = West.   Tilt: 0 = horizontal facing up (roof), 90 = vertical (wall), 180 = horizontal facing down (floor).</t>
  </si>
  <si>
    <t>Profiles: hourly fractions 0–1. Internal gains = full load [W/m²] × profile. HVAC/ventilation profiles: 1 = on (setpoint), 0 = off (setback).</t>
  </si>
  <si>
    <t>Heating/cooling capacity: very large values (e.g. 1e7 W) give the ideal demand without power limitation.</t>
  </si>
  <si>
    <t>Surfaces: add rows directly below the last one (up to row 55). The first empty 'name' ends the list.</t>
  </si>
  <si>
    <t>Notes on the example values</t>
  </si>
  <si>
    <t>The example is the 'Archetype_ITA_SFH_2010' building from examples/new_building.py, so you can check that the Excel route gives the same results as before.</t>
  </si>
  <si>
    <t>In that example the floor slab has boundary OUTDOORS and tilt 0, i.e. it is treated as an exposed horizontal surface, not as ground contact.</t>
  </si>
  <si>
    <t>For a real slab on ground, set boundary = GROUND and tilt = 180 (as in the repo's multizone example). This changes the results noticeably.</t>
  </si>
  <si>
    <t>Adjacent unconditioned zones are not included in this template.</t>
  </si>
  <si>
    <t>Building – general data</t>
  </si>
  <si>
    <t>Edit the yellow cells in column C only.</t>
  </si>
  <si>
    <t>key</t>
  </si>
  <si>
    <t>Parameter</t>
  </si>
  <si>
    <t>Value</t>
  </si>
  <si>
    <t>Unit</t>
  </si>
  <si>
    <t>Notes / allowed values</t>
  </si>
  <si>
    <t>General</t>
  </si>
  <si>
    <t>name</t>
  </si>
  <si>
    <t>Building name</t>
  </si>
  <si>
    <t>Archetype_ITA_SFH_2010</t>
  </si>
  <si>
    <t>-</t>
  </si>
  <si>
    <t>country</t>
  </si>
  <si>
    <t>Country</t>
  </si>
  <si>
    <t>Italy</t>
  </si>
  <si>
    <t>latitude</t>
  </si>
  <si>
    <t>Latitude</t>
  </si>
  <si>
    <t>°</t>
  </si>
  <si>
    <t>Used for solar position and for PVGIS weather download</t>
  </si>
  <si>
    <t>longitude</t>
  </si>
  <si>
    <t>Longitude</t>
  </si>
  <si>
    <t>azimuth_relative_to_true_north</t>
  </si>
  <si>
    <t>Building rotation vs. true north</t>
  </si>
  <si>
    <t>building_type_class</t>
  </si>
  <si>
    <t>Building type</t>
  </si>
  <si>
    <t>Residential_apartment</t>
  </si>
  <si>
    <t>Sets default internal gain tables (ISO 16798-1)</t>
  </si>
  <si>
    <t>construction_class</t>
  </si>
  <si>
    <t>Construction class (mass distribution)</t>
  </si>
  <si>
    <t>class_i</t>
  </si>
  <si>
    <t>class_i = mass inside, class_e = outside, class_ie = split, class_d = distributed, class_m = in the middle</t>
  </si>
  <si>
    <t>construction_year</t>
  </si>
  <si>
    <t>Construction year / period</t>
  </si>
  <si>
    <t>2010-today</t>
  </si>
  <si>
    <t>Text, e.g. 2010-today</t>
  </si>
  <si>
    <t>Geometry</t>
  </si>
  <si>
    <t>net_floor_area</t>
  </si>
  <si>
    <t>Net conditioned floor area</t>
  </si>
  <si>
    <t>m²</t>
  </si>
  <si>
    <t>Used for kWh/m² results and gains</t>
  </si>
  <si>
    <t>height</t>
  </si>
  <si>
    <t>Building height</t>
  </si>
  <si>
    <t>m</t>
  </si>
  <si>
    <t>n_floors</t>
  </si>
  <si>
    <t>Number of floors</t>
  </si>
  <si>
    <t>exposed_perimeter</t>
  </si>
  <si>
    <t>Exposed perimeter of ground floor</t>
  </si>
  <si>
    <t>Used in ground heat transfer (ISO 13370)</t>
  </si>
  <si>
    <t>wall_thickness</t>
  </si>
  <si>
    <t>External wall thickness</t>
  </si>
  <si>
    <t>Temperature setpoints</t>
  </si>
  <si>
    <t>heating_setpoint</t>
  </si>
  <si>
    <t>Heating setpoint</t>
  </si>
  <si>
    <t>°C</t>
  </si>
  <si>
    <t>When heating profile = 1</t>
  </si>
  <si>
    <t>heating_setback</t>
  </si>
  <si>
    <t>Heating setback</t>
  </si>
  <si>
    <t>When heating profile = 0</t>
  </si>
  <si>
    <t>cooling_setpoint</t>
  </si>
  <si>
    <t>Cooling setpoint</t>
  </si>
  <si>
    <t>When cooling profile = 1</t>
  </si>
  <si>
    <t>cooling_setback</t>
  </si>
  <si>
    <t>Cooling setback</t>
  </si>
  <si>
    <t>When cooling profile = 0</t>
  </si>
  <si>
    <t>System capacities</t>
  </si>
  <si>
    <t>heating_capacity</t>
  </si>
  <si>
    <t>Max heating power</t>
  </si>
  <si>
    <t>W</t>
  </si>
  <si>
    <t>Very large value = ideal demand (no limit)</t>
  </si>
  <si>
    <t>cooling_capacity</t>
  </si>
  <si>
    <t>Max cooling power</t>
  </si>
  <si>
    <t>Ventilation</t>
  </si>
  <si>
    <t>ventilation_type</t>
  </si>
  <si>
    <t>Ventilation type</t>
  </si>
  <si>
    <t>occupancy</t>
  </si>
  <si>
    <t>occupancy = flow per floor area below; custom = fixed H_ve below; temp_wind = window airing model; none = off</t>
  </si>
  <si>
    <t>flow_rate_per_person</t>
  </si>
  <si>
    <t>Ventilation flow rate</t>
  </si>
  <si>
    <t>l/(s·m²)</t>
  </si>
  <si>
    <t>Per m² floor area (used when type = occupancy)</t>
  </si>
  <si>
    <t>custom_heat_transfer_coefficient_ventilation</t>
  </si>
  <si>
    <t>Custom ventilation heat transfer coeff.</t>
  </si>
  <si>
    <t>W/K</t>
  </si>
  <si>
    <t>Used when type = custom</t>
  </si>
  <si>
    <t>Thermal bridges &amp; climate</t>
  </si>
  <si>
    <t>thermal_bridge_heat_W_K</t>
  </si>
  <si>
    <t>Total thermal bridge coefficient</t>
  </si>
  <si>
    <t>Sum of ψ·l + χ</t>
  </si>
  <si>
    <t>coldest_month</t>
  </si>
  <si>
    <t>Coldest month</t>
  </si>
  <si>
    <t>1–12</t>
  </si>
  <si>
    <t>1 = January</t>
  </si>
  <si>
    <t>Internal gains (peak values)</t>
  </si>
  <si>
    <t>gain_occupants</t>
  </si>
  <si>
    <t>Occupants – full load</t>
  </si>
  <si>
    <t>W/m²</t>
  </si>
  <si>
    <t>Multiplied by the hourly profile on 'Profiles'</t>
  </si>
  <si>
    <t>gain_appliances</t>
  </si>
  <si>
    <t>Appliances – full load</t>
  </si>
  <si>
    <t>gain_lighting</t>
  </si>
  <si>
    <t>Lighting – full load</t>
  </si>
  <si>
    <t>Building envelope – one row per surface</t>
  </si>
  <si>
    <t>Yellow = all surfaces, green = windows only (leave blank for opaque). Add surfaces below the last row; first empty name ends the list.</t>
  </si>
  <si>
    <t>All surfaces</t>
  </si>
  <si>
    <t>Windows only</t>
  </si>
  <si>
    <t>type</t>
  </si>
  <si>
    <t>boundary</t>
  </si>
  <si>
    <t>area</t>
  </si>
  <si>
    <t>u_value</t>
  </si>
  <si>
    <t>azimuth</t>
  </si>
  <si>
    <t>tilt</t>
  </si>
  <si>
    <t>sky_view_factor</t>
  </si>
  <si>
    <t>solar_absorptance</t>
  </si>
  <si>
    <t>thermal_capacity</t>
  </si>
  <si>
    <t>length</t>
  </si>
  <si>
    <t>g_value</t>
  </si>
  <si>
    <t>width</t>
  </si>
  <si>
    <t>parapet</t>
  </si>
  <si>
    <t>shading</t>
  </si>
  <si>
    <t>shading_type</t>
  </si>
  <si>
    <t>width_or_distance_of_shading_elements</t>
  </si>
  <si>
    <t>width_of_horizontal_overhangs</t>
  </si>
  <si>
    <t>Name [-]</t>
  </si>
  <si>
    <t>Type [opaque / transparent]</t>
  </si>
  <si>
    <t>Boundary [OUTDOORS / GROUND]</t>
  </si>
  <si>
    <t>Area [m²]</t>
  </si>
  <si>
    <t>U-value [W/m²K]</t>
  </si>
  <si>
    <t>Azimuth [° (0=N, 90=E)]</t>
  </si>
  <si>
    <t>Tilt [° (0=up, 90=vert)]</t>
  </si>
  <si>
    <t>Sky view factor [0–1]</t>
  </si>
  <si>
    <t>Solar absorptance [0–1]</t>
  </si>
  <si>
    <t>Areal heat capacity [J/m²K]</t>
  </si>
  <si>
    <t>Height [m]</t>
  </si>
  <si>
    <t>Length [m (opaque)]</t>
  </si>
  <si>
    <t>g-value [0–1]</t>
  </si>
  <si>
    <t>Width [m]</t>
  </si>
  <si>
    <t>Parapet height [m]</t>
  </si>
  <si>
    <t>Shading [TRUE / FALSE]</t>
  </si>
  <si>
    <t>Shading type [-]</t>
  </si>
  <si>
    <t>Shading distance [m]</t>
  </si>
  <si>
    <t>Overhang depth [m]</t>
  </si>
  <si>
    <t>Roof surface</t>
  </si>
  <si>
    <t>opaque</t>
  </si>
  <si>
    <t>OUTDOORS</t>
  </si>
  <si>
    <t>Opaque north surface</t>
  </si>
  <si>
    <t>Opaque south surface</t>
  </si>
  <si>
    <t>Opaque east surface</t>
  </si>
  <si>
    <t>Opaque west surface</t>
  </si>
  <si>
    <t>Slab to ground</t>
  </si>
  <si>
    <t>Transparent east surface</t>
  </si>
  <si>
    <t>transparent</t>
  </si>
  <si>
    <t>horizontal_overhang</t>
  </si>
  <si>
    <t>Transparent west surface</t>
  </si>
  <si>
    <t>Hourly profiles (0–1)</t>
  </si>
  <si>
    <t>Internal gains: fraction of the full load on 'Building'. Heating/cooling/ventilation: 1 = on, 0 = off/setback.</t>
  </si>
  <si>
    <t>hour</t>
  </si>
  <si>
    <t>occupants_weekday</t>
  </si>
  <si>
    <t>occupants_weekend</t>
  </si>
  <si>
    <t>appliances_weekday</t>
  </si>
  <si>
    <t>appliances_weekend</t>
  </si>
  <si>
    <t>lighting_weekday</t>
  </si>
  <si>
    <t>lighting_weekend</t>
  </si>
  <si>
    <t>heating_weekday</t>
  </si>
  <si>
    <t>heating_weekend</t>
  </si>
  <si>
    <t>cooling_weekday</t>
  </si>
  <si>
    <t>cooling_weekend</t>
  </si>
  <si>
    <t>ventilation_weekday</t>
  </si>
  <si>
    <t>ventilation_weekend</t>
  </si>
  <si>
    <t>Hour 0 = 00:00–01:00</t>
  </si>
  <si>
    <t>Input summary (calculated – for checking only, not read by Python)</t>
  </si>
  <si>
    <t>Areas</t>
  </si>
  <si>
    <t>Net floor area</t>
  </si>
  <si>
    <t>Opaque area – outdoors</t>
  </si>
  <si>
    <t>Opaque area – ground</t>
  </si>
  <si>
    <t>Window area</t>
  </si>
  <si>
    <t>Total envelope area</t>
  </si>
  <si>
    <t>Window-to-floor ratio</t>
  </si>
  <si>
    <t>Heat loss</t>
  </si>
  <si>
    <t>UA envelope (Σ A·U)</t>
  </si>
  <si>
    <t>Thermal bridges</t>
  </si>
  <si>
    <t>Total transmission H_tr</t>
  </si>
  <si>
    <t>Mean U-value</t>
  </si>
  <si>
    <t>W/m²K</t>
  </si>
  <si>
    <t>H_tr per m² floor</t>
  </si>
  <si>
    <t>Vertical surfaces by orientation (tilt = 90°)</t>
  </si>
  <si>
    <t>Orientation</t>
  </si>
  <si>
    <t>Azimuth [°]</t>
  </si>
  <si>
    <t>Wall area [m²]</t>
  </si>
  <si>
    <t>Window area [m²]</t>
  </si>
  <si>
    <t>Window-to-wall ratio</t>
  </si>
  <si>
    <t>North</t>
  </si>
  <si>
    <t>East</t>
  </si>
  <si>
    <t>South</t>
  </si>
  <si>
    <t>West</t>
  </si>
  <si>
    <t>Only surfaces with exactly these azimuths are counted; walls (opaque) and windows are listed as separate surfaces.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</si>
</sst>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4E7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8"/>
      <color rgb="FF80808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4" fillId="0" borderId="1" xfId="0" applyFont="1" applyBorder="1"/>
    <xf numFmtId="0" fontId="6" fillId="0" borderId="0" xfId="0" applyFont="1"/>
    <xf numFmtId="0" fontId="7" fillId="4" borderId="1" xfId="0" applyFont="1" applyFill="1" applyBorder="1"/>
    <xf numFmtId="0" fontId="0" fillId="5" borderId="0" xfId="0" applyFill="1"/>
    <xf numFmtId="0" fontId="3" fillId="5" borderId="0" xfId="0" applyFont="1" applyFill="1"/>
    <xf numFmtId="0" fontId="8" fillId="0" borderId="0" xfId="0" applyFont="1"/>
    <xf numFmtId="0" fontId="7" fillId="4" borderId="1" xfId="0" applyFont="1" applyFill="1" applyBorder="1" applyAlignment="1">
      <alignment vertical="center" wrapText="1"/>
    </xf>
    <xf numFmtId="0" fontId="6" fillId="0" borderId="0" xfId="0" applyFont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4" fontId="4" fillId="0" borderId="1" xfId="0" applyNumberFormat="1" applyFont="1" applyBorder="1"/>
    <xf numFmtId="164" fontId="4" fillId="0" borderId="1" xfId="0" applyNumberFormat="1" applyFont="1" applyBorder="1"/>
    <xf numFmtId="0" fontId="5" fillId="0" borderId="1" xfId="0" applyFont="1" applyBorder="1"/>
    <xf numFmtId="165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a-DK" sz="1800" b="1" strike="noStrike" spc="-1">
                <a:solidFill>
                  <a:srgbClr val="000000"/>
                </a:solidFill>
                <a:latin typeface="Calibri"/>
              </a:rPr>
              <a:t>Internal gains – weekday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Profiles!$B$4</c:f>
              <c:strCache>
                <c:ptCount val="1"/>
                <c:pt idx="0">
                  <c:v>occupants_weekday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a-D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Profiles!$A$5:$A$28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Profiles!$B$5:$B$28</c:f>
              <c:numCache>
                <c:formatCode>0.00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B9-4EE6-833D-45DE8B49A6FB}"/>
            </c:ext>
          </c:extLst>
        </c:ser>
        <c:ser>
          <c:idx val="1"/>
          <c:order val="1"/>
          <c:tx>
            <c:strRef>
              <c:f>Profiles!$D$4</c:f>
              <c:strCache>
                <c:ptCount val="1"/>
                <c:pt idx="0">
                  <c:v>appliances_weekday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a-D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Profiles!$A$5:$A$28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Profiles!$D$5:$D$28</c:f>
              <c:numCache>
                <c:formatCode>0.00</c:formatCode>
                <c:ptCount val="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0.7</c:v>
                </c:pt>
                <c:pt idx="8">
                  <c:v>0.7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0.5</c:v>
                </c:pt>
                <c:pt idx="16">
                  <c:v>0.5</c:v>
                </c:pt>
                <c:pt idx="17">
                  <c:v>0.7</c:v>
                </c:pt>
                <c:pt idx="18">
                  <c:v>0.7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B9-4EE6-833D-45DE8B49A6FB}"/>
            </c:ext>
          </c:extLst>
        </c:ser>
        <c:ser>
          <c:idx val="2"/>
          <c:order val="2"/>
          <c:tx>
            <c:strRef>
              <c:f>Profiles!$F$4</c:f>
              <c:strCache>
                <c:ptCount val="1"/>
                <c:pt idx="0">
                  <c:v>lighting_weekday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a-D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Profiles!$A$5:$A$28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Profiles!$F$5:$F$28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0.15</c:v>
                </c:pt>
                <c:pt idx="23">
                  <c:v>0.15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2B9-4EE6-833D-45DE8B49A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9890940"/>
        <c:axId val="2067559"/>
      </c:lineChart>
      <c:catAx>
        <c:axId val="498909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a-DK" sz="1000" b="1" strike="noStrike" spc="-1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a-DK"/>
          </a:p>
        </c:txPr>
        <c:crossAx val="2067559"/>
        <c:crosses val="autoZero"/>
        <c:auto val="1"/>
        <c:lblAlgn val="ctr"/>
        <c:lblOffset val="100"/>
        <c:noMultiLvlLbl val="0"/>
      </c:catAx>
      <c:valAx>
        <c:axId val="2067559"/>
        <c:scaling>
          <c:orientation val="minMax"/>
          <c:max val="1.0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a-DK" sz="1000" b="1" strike="noStrike" spc="-1">
                    <a:solidFill>
                      <a:srgbClr val="000000"/>
                    </a:solidFill>
                    <a:latin typeface="Calibri"/>
                  </a:rPr>
                  <a:t>fraction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a-DK"/>
          </a:p>
        </c:txPr>
        <c:crossAx val="498909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a-D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a-DK" sz="1800" b="1" strike="noStrike" spc="-1">
                <a:solidFill>
                  <a:srgbClr val="000000"/>
                </a:solidFill>
                <a:latin typeface="Calibri"/>
              </a:rPr>
              <a:t>Internal gains – weekend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Profiles!$C$4</c:f>
              <c:strCache>
                <c:ptCount val="1"/>
                <c:pt idx="0">
                  <c:v>occupants_weekend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a-D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Profiles!$A$5:$A$28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Profiles!$C$5:$C$28</c:f>
              <c:numCache>
                <c:formatCode>0.00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51-4E8B-A1F0-E8933E43CB2C}"/>
            </c:ext>
          </c:extLst>
        </c:ser>
        <c:ser>
          <c:idx val="1"/>
          <c:order val="1"/>
          <c:tx>
            <c:strRef>
              <c:f>Profiles!$E$4</c:f>
              <c:strCache>
                <c:ptCount val="1"/>
                <c:pt idx="0">
                  <c:v>appliances_weekend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a-D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Profiles!$A$5:$A$28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Profiles!$E$5:$E$28</c:f>
              <c:numCache>
                <c:formatCode>0.00</c:formatCode>
                <c:ptCount val="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0.7</c:v>
                </c:pt>
                <c:pt idx="8">
                  <c:v>0.7</c:v>
                </c:pt>
                <c:pt idx="9">
                  <c:v>0.5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0.5</c:v>
                </c:pt>
                <c:pt idx="16">
                  <c:v>0.5</c:v>
                </c:pt>
                <c:pt idx="17">
                  <c:v>0.7</c:v>
                </c:pt>
                <c:pt idx="18">
                  <c:v>0.7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D51-4E8B-A1F0-E8933E43CB2C}"/>
            </c:ext>
          </c:extLst>
        </c:ser>
        <c:ser>
          <c:idx val="2"/>
          <c:order val="2"/>
          <c:tx>
            <c:strRef>
              <c:f>Profiles!$G$4</c:f>
              <c:strCache>
                <c:ptCount val="1"/>
                <c:pt idx="0">
                  <c:v>lighting_weekend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a-D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Profiles!$A$5:$A$28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Profiles!$G$5:$G$28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0.15</c:v>
                </c:pt>
                <c:pt idx="23">
                  <c:v>0.15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D51-4E8B-A1F0-E8933E43C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1450953"/>
        <c:axId val="95523603"/>
      </c:lineChart>
      <c:catAx>
        <c:axId val="914509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a-DK" sz="1000" b="1" strike="noStrike" spc="-1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a-DK"/>
          </a:p>
        </c:txPr>
        <c:crossAx val="95523603"/>
        <c:crosses val="autoZero"/>
        <c:auto val="1"/>
        <c:lblAlgn val="ctr"/>
        <c:lblOffset val="100"/>
        <c:noMultiLvlLbl val="0"/>
      </c:catAx>
      <c:valAx>
        <c:axId val="95523603"/>
        <c:scaling>
          <c:orientation val="minMax"/>
          <c:max val="1.0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a-DK" sz="1000" b="1" strike="noStrike" spc="-1">
                    <a:solidFill>
                      <a:srgbClr val="000000"/>
                    </a:solidFill>
                    <a:latin typeface="Calibri"/>
                  </a:rPr>
                  <a:t>fraction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a-DK"/>
          </a:p>
        </c:txPr>
        <c:crossAx val="914509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a-D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a-DK" sz="1800" b="1" strike="noStrike" spc="-1">
                <a:solidFill>
                  <a:srgbClr val="000000"/>
                </a:solidFill>
                <a:latin typeface="Calibri"/>
              </a:rPr>
              <a:t>HVAC &amp; ventilation – weekday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Profiles!$H$4</c:f>
              <c:strCache>
                <c:ptCount val="1"/>
                <c:pt idx="0">
                  <c:v>heating_weekday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a-D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Profiles!$A$5:$A$28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Profiles!$H$5:$H$28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F9-4AB4-9EEE-856C974F2EAC}"/>
            </c:ext>
          </c:extLst>
        </c:ser>
        <c:ser>
          <c:idx val="1"/>
          <c:order val="1"/>
          <c:tx>
            <c:strRef>
              <c:f>Profiles!$J$4</c:f>
              <c:strCache>
                <c:ptCount val="1"/>
                <c:pt idx="0">
                  <c:v>cooling_weekday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a-D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Profiles!$A$5:$A$28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Profiles!$J$5:$J$28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CF9-4AB4-9EEE-856C974F2EAC}"/>
            </c:ext>
          </c:extLst>
        </c:ser>
        <c:ser>
          <c:idx val="2"/>
          <c:order val="2"/>
          <c:tx>
            <c:strRef>
              <c:f>Profiles!$L$4</c:f>
              <c:strCache>
                <c:ptCount val="1"/>
                <c:pt idx="0">
                  <c:v>ventilation_weekday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a-D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Profiles!$A$5:$A$28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Profiles!$L$5:$L$28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CF9-4AB4-9EEE-856C974F2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9426884"/>
        <c:axId val="33093981"/>
      </c:lineChart>
      <c:catAx>
        <c:axId val="694268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a-DK" sz="1000" b="1" strike="noStrike" spc="-1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a-DK"/>
          </a:p>
        </c:txPr>
        <c:crossAx val="33093981"/>
        <c:crosses val="autoZero"/>
        <c:auto val="1"/>
        <c:lblAlgn val="ctr"/>
        <c:lblOffset val="100"/>
        <c:noMultiLvlLbl val="0"/>
      </c:catAx>
      <c:valAx>
        <c:axId val="33093981"/>
        <c:scaling>
          <c:orientation val="minMax"/>
          <c:max val="1.0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a-DK" sz="1000" b="1" strike="noStrike" spc="-1">
                    <a:solidFill>
                      <a:srgbClr val="000000"/>
                    </a:solidFill>
                    <a:latin typeface="Calibri"/>
                  </a:rPr>
                  <a:t>fraction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a-DK"/>
          </a:p>
        </c:txPr>
        <c:crossAx val="694268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a-D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a-DK" sz="1800" b="1" strike="noStrike" spc="-1">
                <a:solidFill>
                  <a:srgbClr val="000000"/>
                </a:solidFill>
                <a:latin typeface="Calibri"/>
              </a:rPr>
              <a:t>HVAC &amp; ventilation – weekend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Profiles!$I$4</c:f>
              <c:strCache>
                <c:ptCount val="1"/>
                <c:pt idx="0">
                  <c:v>heating_weekend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a-D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Profiles!$A$5:$A$28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Profiles!$I$5:$I$28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EF-40B4-8EE5-90B658C47277}"/>
            </c:ext>
          </c:extLst>
        </c:ser>
        <c:ser>
          <c:idx val="1"/>
          <c:order val="1"/>
          <c:tx>
            <c:strRef>
              <c:f>Profiles!$K$4</c:f>
              <c:strCache>
                <c:ptCount val="1"/>
                <c:pt idx="0">
                  <c:v>cooling_weekend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a-D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Profiles!$A$5:$A$28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Profiles!$K$5:$K$28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EF-40B4-8EE5-90B658C47277}"/>
            </c:ext>
          </c:extLst>
        </c:ser>
        <c:ser>
          <c:idx val="2"/>
          <c:order val="2"/>
          <c:tx>
            <c:strRef>
              <c:f>Profiles!$M$4</c:f>
              <c:strCache>
                <c:ptCount val="1"/>
                <c:pt idx="0">
                  <c:v>ventilation_weekend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a-D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Profiles!$A$5:$A$28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Profiles!$M$5:$M$28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EEF-40B4-8EE5-90B658C47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664034"/>
        <c:axId val="48407857"/>
      </c:lineChart>
      <c:catAx>
        <c:axId val="716640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a-DK" sz="1000" b="1" strike="noStrike" spc="-1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a-DK"/>
          </a:p>
        </c:txPr>
        <c:crossAx val="48407857"/>
        <c:crosses val="autoZero"/>
        <c:auto val="1"/>
        <c:lblAlgn val="ctr"/>
        <c:lblOffset val="100"/>
        <c:noMultiLvlLbl val="0"/>
      </c:catAx>
      <c:valAx>
        <c:axId val="48407857"/>
        <c:scaling>
          <c:orientation val="minMax"/>
          <c:max val="1.0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a-DK" sz="1000" b="1" strike="noStrike" spc="-1">
                    <a:solidFill>
                      <a:srgbClr val="000000"/>
                    </a:solidFill>
                    <a:latin typeface="Calibri"/>
                  </a:rPr>
                  <a:t>fraction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a-DK"/>
          </a:p>
        </c:txPr>
        <c:crossAx val="716640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a-D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160560</xdr:rowOff>
    </xdr:from>
    <xdr:to>
      <xdr:col>6</xdr:col>
      <xdr:colOff>684720</xdr:colOff>
      <xdr:row>44</xdr:row>
      <xdr:rowOff>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160560</xdr:rowOff>
    </xdr:from>
    <xdr:to>
      <xdr:col>14</xdr:col>
      <xdr:colOff>73440</xdr:colOff>
      <xdr:row>44</xdr:row>
      <xdr:rowOff>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45</xdr:row>
      <xdr:rowOff>160560</xdr:rowOff>
    </xdr:from>
    <xdr:to>
      <xdr:col>6</xdr:col>
      <xdr:colOff>684720</xdr:colOff>
      <xdr:row>60</xdr:row>
      <xdr:rowOff>2880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45</xdr:row>
      <xdr:rowOff>160560</xdr:rowOff>
    </xdr:from>
    <xdr:to>
      <xdr:col>14</xdr:col>
      <xdr:colOff>73440</xdr:colOff>
      <xdr:row>60</xdr:row>
      <xdr:rowOff>2880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topLeftCell="A9" zoomScaleNormal="100" workbookViewId="0">
      <selection activeCell="E21" sqref="E21"/>
    </sheetView>
  </sheetViews>
  <sheetFormatPr defaultColWidth="8.6640625" defaultRowHeight="14.4" x14ac:dyDescent="0.3"/>
  <cols>
    <col min="1" max="1" width="150" customWidth="1"/>
  </cols>
  <sheetData>
    <row r="1" spans="1:1" ht="17.399999999999999" x14ac:dyDescent="0.3">
      <c r="A1" s="1" t="s">
        <v>0</v>
      </c>
    </row>
    <row r="3" spans="1:1" x14ac:dyDescent="0.3">
      <c r="A3" s="2" t="s">
        <v>1</v>
      </c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8" spans="1:1" x14ac:dyDescent="0.3">
      <c r="A8" s="2" t="s">
        <v>5</v>
      </c>
    </row>
    <row r="9" spans="1:1" x14ac:dyDescent="0.3">
      <c r="A9" s="4" t="s">
        <v>6</v>
      </c>
    </row>
    <row r="10" spans="1:1" x14ac:dyDescent="0.3">
      <c r="A10" s="5" t="s">
        <v>7</v>
      </c>
    </row>
    <row r="11" spans="1:1" x14ac:dyDescent="0.3">
      <c r="A11" s="6" t="s">
        <v>8</v>
      </c>
    </row>
    <row r="12" spans="1:1" x14ac:dyDescent="0.3">
      <c r="A12" s="7" t="s">
        <v>9</v>
      </c>
    </row>
    <row r="14" spans="1:1" x14ac:dyDescent="0.3">
      <c r="A14" s="2" t="s">
        <v>10</v>
      </c>
    </row>
    <row r="15" spans="1:1" x14ac:dyDescent="0.3">
      <c r="A15" s="3" t="s">
        <v>11</v>
      </c>
    </row>
    <row r="16" spans="1:1" x14ac:dyDescent="0.3">
      <c r="A16" s="3" t="s">
        <v>12</v>
      </c>
    </row>
    <row r="17" spans="1:1" x14ac:dyDescent="0.3">
      <c r="A17" s="3" t="s">
        <v>13</v>
      </c>
    </row>
    <row r="18" spans="1:1" x14ac:dyDescent="0.3">
      <c r="A18" s="3" t="s">
        <v>14</v>
      </c>
    </row>
    <row r="20" spans="1:1" x14ac:dyDescent="0.3">
      <c r="A20" s="2" t="s">
        <v>15</v>
      </c>
    </row>
    <row r="21" spans="1:1" x14ac:dyDescent="0.3">
      <c r="A21" s="3" t="s">
        <v>16</v>
      </c>
    </row>
    <row r="22" spans="1:1" x14ac:dyDescent="0.3">
      <c r="A22" s="3" t="s">
        <v>17</v>
      </c>
    </row>
    <row r="23" spans="1:1" x14ac:dyDescent="0.3">
      <c r="A23" s="3" t="s">
        <v>18</v>
      </c>
    </row>
    <row r="24" spans="1:1" x14ac:dyDescent="0.3">
      <c r="A24" s="3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zoomScaleNormal="100" workbookViewId="0">
      <pane ySplit="4" topLeftCell="A5" activePane="bottomLeft" state="frozen"/>
      <selection pane="bottomLeft" activeCell="C21" sqref="C21"/>
    </sheetView>
  </sheetViews>
  <sheetFormatPr defaultColWidth="8.6640625" defaultRowHeight="14.4" x14ac:dyDescent="0.3"/>
  <cols>
    <col min="1" max="1" width="30" customWidth="1"/>
    <col min="2" max="2" width="38" customWidth="1"/>
    <col min="3" max="3" width="24" customWidth="1"/>
    <col min="4" max="4" width="11" customWidth="1"/>
    <col min="5" max="5" width="90" customWidth="1"/>
  </cols>
  <sheetData>
    <row r="1" spans="1:5" ht="17.399999999999999" x14ac:dyDescent="0.3">
      <c r="A1" s="1" t="s">
        <v>20</v>
      </c>
    </row>
    <row r="2" spans="1:5" x14ac:dyDescent="0.3">
      <c r="A2" s="7" t="s">
        <v>21</v>
      </c>
    </row>
    <row r="4" spans="1:5" x14ac:dyDescent="0.3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</row>
    <row r="5" spans="1:5" x14ac:dyDescent="0.3">
      <c r="A5" s="9"/>
      <c r="B5" s="10" t="s">
        <v>27</v>
      </c>
      <c r="C5" s="9"/>
      <c r="D5" s="9"/>
      <c r="E5" s="9"/>
    </row>
    <row r="6" spans="1:5" x14ac:dyDescent="0.3">
      <c r="A6" s="11" t="s">
        <v>28</v>
      </c>
      <c r="B6" s="3" t="s">
        <v>29</v>
      </c>
      <c r="C6" s="4" t="s">
        <v>30</v>
      </c>
      <c r="D6" s="3" t="s">
        <v>31</v>
      </c>
      <c r="E6" s="7"/>
    </row>
    <row r="7" spans="1:5" x14ac:dyDescent="0.3">
      <c r="A7" s="11" t="s">
        <v>32</v>
      </c>
      <c r="B7" s="3" t="s">
        <v>33</v>
      </c>
      <c r="C7" s="4" t="s">
        <v>34</v>
      </c>
      <c r="D7" s="3" t="s">
        <v>31</v>
      </c>
      <c r="E7" s="7"/>
    </row>
    <row r="8" spans="1:5" x14ac:dyDescent="0.3">
      <c r="A8" s="11" t="s">
        <v>35</v>
      </c>
      <c r="B8" s="3" t="s">
        <v>36</v>
      </c>
      <c r="C8" s="4">
        <v>41.9</v>
      </c>
      <c r="D8" s="3" t="s">
        <v>37</v>
      </c>
      <c r="E8" s="7" t="s">
        <v>38</v>
      </c>
    </row>
    <row r="9" spans="1:5" x14ac:dyDescent="0.3">
      <c r="A9" s="11" t="s">
        <v>39</v>
      </c>
      <c r="B9" s="3" t="s">
        <v>40</v>
      </c>
      <c r="C9" s="4">
        <v>12.5</v>
      </c>
      <c r="D9" s="3" t="s">
        <v>37</v>
      </c>
      <c r="E9" s="7"/>
    </row>
    <row r="10" spans="1:5" x14ac:dyDescent="0.3">
      <c r="A10" s="11" t="s">
        <v>41</v>
      </c>
      <c r="B10" s="3" t="s">
        <v>42</v>
      </c>
      <c r="C10" s="4">
        <v>0</v>
      </c>
      <c r="D10" s="3" t="s">
        <v>37</v>
      </c>
      <c r="E10" s="7"/>
    </row>
    <row r="11" spans="1:5" x14ac:dyDescent="0.3">
      <c r="A11" s="11" t="s">
        <v>43</v>
      </c>
      <c r="B11" s="3" t="s">
        <v>44</v>
      </c>
      <c r="C11" s="4" t="s">
        <v>45</v>
      </c>
      <c r="D11" s="3" t="s">
        <v>31</v>
      </c>
      <c r="E11" s="7" t="s">
        <v>46</v>
      </c>
    </row>
    <row r="12" spans="1:5" x14ac:dyDescent="0.3">
      <c r="A12" s="11" t="s">
        <v>47</v>
      </c>
      <c r="B12" s="3" t="s">
        <v>48</v>
      </c>
      <c r="C12" s="4" t="s">
        <v>49</v>
      </c>
      <c r="D12" s="3" t="s">
        <v>31</v>
      </c>
      <c r="E12" s="7" t="s">
        <v>50</v>
      </c>
    </row>
    <row r="13" spans="1:5" x14ac:dyDescent="0.3">
      <c r="A13" s="11" t="s">
        <v>51</v>
      </c>
      <c r="B13" s="3" t="s">
        <v>52</v>
      </c>
      <c r="C13" s="4" t="s">
        <v>53</v>
      </c>
      <c r="D13" s="3" t="s">
        <v>31</v>
      </c>
      <c r="E13" s="7" t="s">
        <v>54</v>
      </c>
    </row>
    <row r="14" spans="1:5" x14ac:dyDescent="0.3">
      <c r="A14" s="9"/>
      <c r="B14" s="10" t="s">
        <v>55</v>
      </c>
      <c r="C14" s="9"/>
      <c r="D14" s="9"/>
      <c r="E14" s="9"/>
    </row>
    <row r="15" spans="1:5" x14ac:dyDescent="0.3">
      <c r="A15" s="11" t="s">
        <v>56</v>
      </c>
      <c r="B15" s="3" t="s">
        <v>57</v>
      </c>
      <c r="C15" s="4">
        <v>120</v>
      </c>
      <c r="D15" s="3" t="s">
        <v>58</v>
      </c>
      <c r="E15" s="7" t="s">
        <v>59</v>
      </c>
    </row>
    <row r="16" spans="1:5" x14ac:dyDescent="0.3">
      <c r="A16" s="11" t="s">
        <v>60</v>
      </c>
      <c r="B16" s="3" t="s">
        <v>61</v>
      </c>
      <c r="C16" s="4">
        <v>6</v>
      </c>
      <c r="D16" s="3" t="s">
        <v>62</v>
      </c>
      <c r="E16" s="7"/>
    </row>
    <row r="17" spans="1:5" x14ac:dyDescent="0.3">
      <c r="A17" s="11" t="s">
        <v>63</v>
      </c>
      <c r="B17" s="3" t="s">
        <v>64</v>
      </c>
      <c r="C17" s="4">
        <v>2</v>
      </c>
      <c r="D17" s="3" t="s">
        <v>31</v>
      </c>
      <c r="E17" s="7"/>
    </row>
    <row r="18" spans="1:5" x14ac:dyDescent="0.3">
      <c r="A18" s="11" t="s">
        <v>65</v>
      </c>
      <c r="B18" s="3" t="s">
        <v>66</v>
      </c>
      <c r="C18" s="4">
        <v>40</v>
      </c>
      <c r="D18" s="3" t="s">
        <v>62</v>
      </c>
      <c r="E18" s="7" t="s">
        <v>67</v>
      </c>
    </row>
    <row r="19" spans="1:5" x14ac:dyDescent="0.3">
      <c r="A19" s="11" t="s">
        <v>68</v>
      </c>
      <c r="B19" s="3" t="s">
        <v>69</v>
      </c>
      <c r="C19" s="4">
        <v>0.35</v>
      </c>
      <c r="D19" s="3" t="s">
        <v>62</v>
      </c>
      <c r="E19" s="7"/>
    </row>
    <row r="20" spans="1:5" x14ac:dyDescent="0.3">
      <c r="A20" s="9"/>
      <c r="B20" s="10" t="s">
        <v>70</v>
      </c>
      <c r="C20" s="9"/>
      <c r="D20" s="9"/>
      <c r="E20" s="9"/>
    </row>
    <row r="21" spans="1:5" x14ac:dyDescent="0.3">
      <c r="A21" s="11" t="s">
        <v>71</v>
      </c>
      <c r="B21" s="3" t="s">
        <v>72</v>
      </c>
      <c r="C21" s="4">
        <v>20</v>
      </c>
      <c r="D21" s="3" t="s">
        <v>73</v>
      </c>
      <c r="E21" s="7" t="s">
        <v>74</v>
      </c>
    </row>
    <row r="22" spans="1:5" x14ac:dyDescent="0.3">
      <c r="A22" s="11" t="s">
        <v>75</v>
      </c>
      <c r="B22" s="3" t="s">
        <v>76</v>
      </c>
      <c r="C22" s="4">
        <v>17</v>
      </c>
      <c r="D22" s="3" t="s">
        <v>73</v>
      </c>
      <c r="E22" s="7" t="s">
        <v>77</v>
      </c>
    </row>
    <row r="23" spans="1:5" x14ac:dyDescent="0.3">
      <c r="A23" s="11" t="s">
        <v>78</v>
      </c>
      <c r="B23" s="3" t="s">
        <v>79</v>
      </c>
      <c r="C23" s="4">
        <v>26</v>
      </c>
      <c r="D23" s="3" t="s">
        <v>73</v>
      </c>
      <c r="E23" s="7" t="s">
        <v>80</v>
      </c>
    </row>
    <row r="24" spans="1:5" x14ac:dyDescent="0.3">
      <c r="A24" s="11" t="s">
        <v>81</v>
      </c>
      <c r="B24" s="3" t="s">
        <v>82</v>
      </c>
      <c r="C24" s="4">
        <v>30</v>
      </c>
      <c r="D24" s="3" t="s">
        <v>73</v>
      </c>
      <c r="E24" s="7" t="s">
        <v>83</v>
      </c>
    </row>
    <row r="25" spans="1:5" x14ac:dyDescent="0.3">
      <c r="A25" s="9"/>
      <c r="B25" s="10" t="s">
        <v>84</v>
      </c>
      <c r="C25" s="9"/>
      <c r="D25" s="9"/>
      <c r="E25" s="9"/>
    </row>
    <row r="26" spans="1:5" x14ac:dyDescent="0.3">
      <c r="A26" s="11" t="s">
        <v>85</v>
      </c>
      <c r="B26" s="3" t="s">
        <v>86</v>
      </c>
      <c r="C26" s="4">
        <v>10000000</v>
      </c>
      <c r="D26" s="3" t="s">
        <v>87</v>
      </c>
      <c r="E26" s="7" t="s">
        <v>88</v>
      </c>
    </row>
    <row r="27" spans="1:5" x14ac:dyDescent="0.3">
      <c r="A27" s="11" t="s">
        <v>89</v>
      </c>
      <c r="B27" s="3" t="s">
        <v>90</v>
      </c>
      <c r="C27" s="4">
        <v>12000000</v>
      </c>
      <c r="D27" s="3" t="s">
        <v>87</v>
      </c>
      <c r="E27" s="7" t="s">
        <v>88</v>
      </c>
    </row>
    <row r="28" spans="1:5" x14ac:dyDescent="0.3">
      <c r="A28" s="9"/>
      <c r="B28" s="10" t="s">
        <v>91</v>
      </c>
      <c r="C28" s="9"/>
      <c r="D28" s="9"/>
      <c r="E28" s="9"/>
    </row>
    <row r="29" spans="1:5" x14ac:dyDescent="0.3">
      <c r="A29" s="11" t="s">
        <v>92</v>
      </c>
      <c r="B29" s="3" t="s">
        <v>93</v>
      </c>
      <c r="C29" s="4" t="s">
        <v>94</v>
      </c>
      <c r="D29" s="3" t="s">
        <v>31</v>
      </c>
      <c r="E29" s="7" t="s">
        <v>95</v>
      </c>
    </row>
    <row r="30" spans="1:5" x14ac:dyDescent="0.3">
      <c r="A30" s="11" t="s">
        <v>96</v>
      </c>
      <c r="B30" s="3" t="s">
        <v>97</v>
      </c>
      <c r="C30" s="4">
        <v>0.3</v>
      </c>
      <c r="D30" s="3" t="s">
        <v>98</v>
      </c>
      <c r="E30" s="7" t="s">
        <v>99</v>
      </c>
    </row>
    <row r="31" spans="1:5" x14ac:dyDescent="0.3">
      <c r="A31" s="11" t="s">
        <v>100</v>
      </c>
      <c r="B31" s="3" t="s">
        <v>101</v>
      </c>
      <c r="C31" s="4">
        <v>0</v>
      </c>
      <c r="D31" s="3" t="s">
        <v>102</v>
      </c>
      <c r="E31" s="7" t="s">
        <v>103</v>
      </c>
    </row>
    <row r="32" spans="1:5" x14ac:dyDescent="0.3">
      <c r="A32" s="9"/>
      <c r="B32" s="10" t="s">
        <v>104</v>
      </c>
      <c r="C32" s="9"/>
      <c r="D32" s="9"/>
      <c r="E32" s="9"/>
    </row>
    <row r="33" spans="1:5" x14ac:dyDescent="0.3">
      <c r="A33" s="11" t="s">
        <v>105</v>
      </c>
      <c r="B33" s="3" t="s">
        <v>106</v>
      </c>
      <c r="C33" s="4">
        <v>2</v>
      </c>
      <c r="D33" s="3" t="s">
        <v>102</v>
      </c>
      <c r="E33" s="7" t="s">
        <v>107</v>
      </c>
    </row>
    <row r="34" spans="1:5" x14ac:dyDescent="0.3">
      <c r="A34" s="11" t="s">
        <v>108</v>
      </c>
      <c r="B34" s="3" t="s">
        <v>109</v>
      </c>
      <c r="C34" s="4">
        <v>1</v>
      </c>
      <c r="D34" s="3" t="s">
        <v>110</v>
      </c>
      <c r="E34" s="7" t="s">
        <v>111</v>
      </c>
    </row>
    <row r="35" spans="1:5" x14ac:dyDescent="0.3">
      <c r="A35" s="9"/>
      <c r="B35" s="10" t="s">
        <v>112</v>
      </c>
      <c r="C35" s="9"/>
      <c r="D35" s="9"/>
      <c r="E35" s="9"/>
    </row>
    <row r="36" spans="1:5" x14ac:dyDescent="0.3">
      <c r="A36" s="11" t="s">
        <v>113</v>
      </c>
      <c r="B36" s="3" t="s">
        <v>114</v>
      </c>
      <c r="C36" s="4">
        <v>4.2</v>
      </c>
      <c r="D36" s="3" t="s">
        <v>115</v>
      </c>
      <c r="E36" s="7" t="s">
        <v>116</v>
      </c>
    </row>
    <row r="37" spans="1:5" x14ac:dyDescent="0.3">
      <c r="A37" s="11" t="s">
        <v>117</v>
      </c>
      <c r="B37" s="3" t="s">
        <v>118</v>
      </c>
      <c r="C37" s="4">
        <v>3</v>
      </c>
      <c r="D37" s="3" t="s">
        <v>115</v>
      </c>
      <c r="E37" s="7"/>
    </row>
    <row r="38" spans="1:5" x14ac:dyDescent="0.3">
      <c r="A38" s="11" t="s">
        <v>119</v>
      </c>
      <c r="B38" s="3" t="s">
        <v>120</v>
      </c>
      <c r="C38" s="4">
        <v>3</v>
      </c>
      <c r="D38" s="3" t="s">
        <v>115</v>
      </c>
      <c r="E38" s="7"/>
    </row>
  </sheetData>
  <dataValidations count="7">
    <dataValidation type="list" sqref="C11" xr:uid="{00000000-0002-0000-0100-000000000000}">
      <formula1>"Office,School,Residential_apartment,Residential_detached_house,Kindergarten,Department_store"</formula1>
      <formula2>0</formula2>
    </dataValidation>
    <dataValidation type="list" sqref="C12" xr:uid="{00000000-0002-0000-0100-000001000000}">
      <formula1>"class_i,class_e,class_ie,class_d,class_m"</formula1>
      <formula2>0</formula2>
    </dataValidation>
    <dataValidation type="list" sqref="C29" xr:uid="{00000000-0002-0000-0100-000002000000}">
      <formula1>"occupancy,custom,temp_wind,none"</formula1>
      <formula2>0</formula2>
    </dataValidation>
    <dataValidation type="decimal" showErrorMessage="1" error="Value must be between 1 and 12" sqref="C34" xr:uid="{00000000-0002-0000-0100-000003000000}">
      <formula1>1</formula1>
      <formula2>12</formula2>
    </dataValidation>
    <dataValidation type="decimal" showErrorMessage="1" error="Value must be between -90 and 90" sqref="C8" xr:uid="{00000000-0002-0000-0100-000004000000}">
      <formula1>-90</formula1>
      <formula2>90</formula2>
    </dataValidation>
    <dataValidation type="decimal" showErrorMessage="1" error="Value must be between -180 and 180" sqref="C9" xr:uid="{00000000-0002-0000-0100-000005000000}">
      <formula1>-180</formula1>
      <formula2>180</formula2>
    </dataValidation>
    <dataValidation type="decimal" operator="greaterThan" showErrorMessage="1" error="Value must be &gt; 0" sqref="C15:C17" xr:uid="{00000000-0002-0000-0100-000006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5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U9" sqref="U9"/>
    </sheetView>
  </sheetViews>
  <sheetFormatPr defaultColWidth="8.6640625" defaultRowHeight="14.4" x14ac:dyDescent="0.3"/>
  <cols>
    <col min="1" max="1" width="26" customWidth="1"/>
    <col min="2" max="3" width="13" customWidth="1"/>
    <col min="4" max="6" width="9" customWidth="1"/>
    <col min="7" max="7" width="8" customWidth="1"/>
    <col min="8" max="8" width="10" customWidth="1"/>
    <col min="9" max="9" width="11" customWidth="1"/>
    <col min="10" max="10" width="13" customWidth="1"/>
    <col min="11" max="14" width="8" customWidth="1"/>
    <col min="15" max="15" width="9" customWidth="1"/>
    <col min="16" max="16" width="12.5546875" bestFit="1" customWidth="1"/>
    <col min="17" max="17" width="20" customWidth="1"/>
    <col min="18" max="18" width="24.77734375" customWidth="1"/>
    <col min="19" max="19" width="32.6640625" customWidth="1"/>
  </cols>
  <sheetData>
    <row r="1" spans="1:19" ht="17.399999999999999" x14ac:dyDescent="0.3">
      <c r="A1" s="1" t="s">
        <v>121</v>
      </c>
    </row>
    <row r="2" spans="1:19" x14ac:dyDescent="0.3">
      <c r="A2" s="7" t="s">
        <v>122</v>
      </c>
    </row>
    <row r="3" spans="1:19" x14ac:dyDescent="0.3">
      <c r="A3" s="2" t="s">
        <v>123</v>
      </c>
      <c r="M3" s="2" t="s">
        <v>124</v>
      </c>
    </row>
    <row r="4" spans="1:19" ht="42" customHeight="1" x14ac:dyDescent="0.3">
      <c r="A4" s="12" t="s">
        <v>28</v>
      </c>
      <c r="B4" s="12" t="s">
        <v>125</v>
      </c>
      <c r="C4" s="12" t="s">
        <v>126</v>
      </c>
      <c r="D4" s="12" t="s">
        <v>127</v>
      </c>
      <c r="E4" s="12" t="s">
        <v>128</v>
      </c>
      <c r="F4" s="12" t="s">
        <v>129</v>
      </c>
      <c r="G4" s="12" t="s">
        <v>130</v>
      </c>
      <c r="H4" s="12" t="s">
        <v>131</v>
      </c>
      <c r="I4" s="12" t="s">
        <v>132</v>
      </c>
      <c r="J4" s="12" t="s">
        <v>133</v>
      </c>
      <c r="K4" s="12" t="s">
        <v>60</v>
      </c>
      <c r="L4" s="12" t="s">
        <v>134</v>
      </c>
      <c r="M4" s="12" t="s">
        <v>135</v>
      </c>
      <c r="N4" s="12" t="s">
        <v>136</v>
      </c>
      <c r="O4" s="12" t="s">
        <v>137</v>
      </c>
      <c r="P4" s="12" t="s">
        <v>138</v>
      </c>
      <c r="Q4" s="12" t="s">
        <v>139</v>
      </c>
      <c r="R4" s="12" t="s">
        <v>140</v>
      </c>
      <c r="S4" s="12" t="s">
        <v>141</v>
      </c>
    </row>
    <row r="5" spans="1:19" ht="30" customHeight="1" x14ac:dyDescent="0.3">
      <c r="A5" s="13" t="s">
        <v>142</v>
      </c>
      <c r="B5" s="13" t="s">
        <v>143</v>
      </c>
      <c r="C5" s="13" t="s">
        <v>144</v>
      </c>
      <c r="D5" s="13" t="s">
        <v>145</v>
      </c>
      <c r="E5" s="13" t="s">
        <v>146</v>
      </c>
      <c r="F5" s="13" t="s">
        <v>147</v>
      </c>
      <c r="G5" s="13" t="s">
        <v>148</v>
      </c>
      <c r="H5" s="13" t="s">
        <v>149</v>
      </c>
      <c r="I5" s="13" t="s">
        <v>150</v>
      </c>
      <c r="J5" s="13" t="s">
        <v>151</v>
      </c>
      <c r="K5" s="13" t="s">
        <v>152</v>
      </c>
      <c r="L5" s="13" t="s">
        <v>153</v>
      </c>
      <c r="M5" s="13" t="s">
        <v>154</v>
      </c>
      <c r="N5" s="13" t="s">
        <v>155</v>
      </c>
      <c r="O5" s="13" t="s">
        <v>156</v>
      </c>
      <c r="P5" s="13" t="s">
        <v>157</v>
      </c>
      <c r="Q5" s="13" t="s">
        <v>158</v>
      </c>
      <c r="R5" s="13" t="s">
        <v>159</v>
      </c>
      <c r="S5" s="13" t="s">
        <v>160</v>
      </c>
    </row>
    <row r="6" spans="1:19" x14ac:dyDescent="0.3">
      <c r="A6" s="4" t="s">
        <v>161</v>
      </c>
      <c r="B6" s="4" t="s">
        <v>162</v>
      </c>
      <c r="C6" s="4" t="s">
        <v>163</v>
      </c>
      <c r="D6" s="4">
        <v>30</v>
      </c>
      <c r="E6" s="4">
        <v>1</v>
      </c>
      <c r="F6" s="4">
        <v>0</v>
      </c>
      <c r="G6" s="4">
        <v>0</v>
      </c>
      <c r="H6" s="4">
        <v>1</v>
      </c>
      <c r="I6" s="4">
        <v>0.4</v>
      </c>
      <c r="J6" s="4">
        <v>741500</v>
      </c>
      <c r="K6" s="4">
        <v>10</v>
      </c>
      <c r="L6" s="4">
        <v>13</v>
      </c>
      <c r="M6" s="5"/>
      <c r="N6" s="5"/>
      <c r="O6" s="5"/>
      <c r="P6" s="5"/>
      <c r="Q6" s="5"/>
      <c r="R6" s="5"/>
      <c r="S6" s="5"/>
    </row>
    <row r="7" spans="1:19" x14ac:dyDescent="0.3">
      <c r="A7" s="4" t="s">
        <v>164</v>
      </c>
      <c r="B7" s="4" t="s">
        <v>162</v>
      </c>
      <c r="C7" s="4" t="s">
        <v>163</v>
      </c>
      <c r="D7" s="4">
        <v>30</v>
      </c>
      <c r="E7" s="4">
        <v>1</v>
      </c>
      <c r="F7" s="4">
        <v>0</v>
      </c>
      <c r="G7" s="4">
        <v>90</v>
      </c>
      <c r="H7" s="4">
        <v>0.5</v>
      </c>
      <c r="I7" s="4">
        <v>0.4</v>
      </c>
      <c r="J7" s="4">
        <v>1416240</v>
      </c>
      <c r="K7" s="4">
        <v>10</v>
      </c>
      <c r="L7" s="4">
        <v>3</v>
      </c>
      <c r="M7" s="5"/>
      <c r="N7" s="5"/>
      <c r="O7" s="5"/>
      <c r="P7" s="5"/>
      <c r="Q7" s="5"/>
      <c r="R7" s="5"/>
      <c r="S7" s="5"/>
    </row>
    <row r="8" spans="1:19" x14ac:dyDescent="0.3">
      <c r="A8" s="4" t="s">
        <v>165</v>
      </c>
      <c r="B8" s="4" t="s">
        <v>162</v>
      </c>
      <c r="C8" s="4" t="s">
        <v>163</v>
      </c>
      <c r="D8" s="4">
        <v>30</v>
      </c>
      <c r="E8" s="4">
        <v>1</v>
      </c>
      <c r="F8" s="4">
        <v>180</v>
      </c>
      <c r="G8" s="4">
        <v>90</v>
      </c>
      <c r="H8" s="4">
        <v>0.5</v>
      </c>
      <c r="I8" s="4">
        <v>0.4</v>
      </c>
      <c r="J8" s="4">
        <v>1416240</v>
      </c>
      <c r="K8" s="4">
        <v>10</v>
      </c>
      <c r="L8" s="4">
        <v>3</v>
      </c>
      <c r="M8" s="5"/>
      <c r="N8" s="5"/>
      <c r="O8" s="5"/>
      <c r="P8" s="5"/>
      <c r="Q8" s="5"/>
      <c r="R8" s="5"/>
      <c r="S8" s="5"/>
    </row>
    <row r="9" spans="1:19" x14ac:dyDescent="0.3">
      <c r="A9" s="4" t="s">
        <v>166</v>
      </c>
      <c r="B9" s="4" t="s">
        <v>162</v>
      </c>
      <c r="C9" s="4" t="s">
        <v>163</v>
      </c>
      <c r="D9" s="4">
        <v>30</v>
      </c>
      <c r="E9" s="4">
        <v>1</v>
      </c>
      <c r="F9" s="4">
        <v>90</v>
      </c>
      <c r="G9" s="4">
        <v>90</v>
      </c>
      <c r="H9" s="4">
        <v>0.5</v>
      </c>
      <c r="I9" s="4">
        <v>0.6</v>
      </c>
      <c r="J9" s="4">
        <v>1416240</v>
      </c>
      <c r="K9" s="4">
        <v>10</v>
      </c>
      <c r="L9" s="4">
        <v>3</v>
      </c>
      <c r="M9" s="5"/>
      <c r="N9" s="5"/>
      <c r="O9" s="5"/>
      <c r="P9" s="5"/>
      <c r="Q9" s="5"/>
      <c r="R9" s="5"/>
      <c r="S9" s="5"/>
    </row>
    <row r="10" spans="1:19" x14ac:dyDescent="0.3">
      <c r="A10" s="4" t="s">
        <v>167</v>
      </c>
      <c r="B10" s="4" t="s">
        <v>162</v>
      </c>
      <c r="C10" s="4" t="s">
        <v>163</v>
      </c>
      <c r="D10" s="4">
        <v>30</v>
      </c>
      <c r="E10" s="4">
        <v>1</v>
      </c>
      <c r="F10" s="4">
        <v>270</v>
      </c>
      <c r="G10" s="4">
        <v>90</v>
      </c>
      <c r="H10" s="4">
        <v>0.5</v>
      </c>
      <c r="I10" s="4">
        <v>0.7</v>
      </c>
      <c r="J10" s="4">
        <v>1416240</v>
      </c>
      <c r="K10" s="4">
        <v>10</v>
      </c>
      <c r="L10" s="4">
        <v>3</v>
      </c>
      <c r="M10" s="5"/>
      <c r="N10" s="5"/>
      <c r="O10" s="5"/>
      <c r="P10" s="5"/>
      <c r="Q10" s="5"/>
      <c r="R10" s="5"/>
      <c r="S10" s="5"/>
    </row>
    <row r="11" spans="1:19" x14ac:dyDescent="0.3">
      <c r="A11" s="4" t="s">
        <v>168</v>
      </c>
      <c r="B11" s="4" t="s">
        <v>162</v>
      </c>
      <c r="C11" s="4" t="s">
        <v>163</v>
      </c>
      <c r="D11" s="4">
        <v>30</v>
      </c>
      <c r="E11" s="4">
        <v>1</v>
      </c>
      <c r="F11" s="4">
        <v>0</v>
      </c>
      <c r="G11" s="4">
        <v>0</v>
      </c>
      <c r="H11" s="4">
        <v>0.5</v>
      </c>
      <c r="I11" s="4">
        <v>0.6</v>
      </c>
      <c r="J11" s="4">
        <v>405801</v>
      </c>
      <c r="K11" s="4">
        <v>10</v>
      </c>
      <c r="L11" s="4">
        <v>10</v>
      </c>
      <c r="M11" s="5"/>
      <c r="N11" s="5"/>
      <c r="O11" s="5"/>
      <c r="P11" s="5"/>
      <c r="Q11" s="5"/>
      <c r="R11" s="5"/>
      <c r="S11" s="5"/>
    </row>
    <row r="12" spans="1:19" x14ac:dyDescent="0.3">
      <c r="A12" s="4" t="s">
        <v>169</v>
      </c>
      <c r="B12" s="4" t="s">
        <v>170</v>
      </c>
      <c r="C12" s="4" t="s">
        <v>163</v>
      </c>
      <c r="D12" s="4">
        <v>3</v>
      </c>
      <c r="E12" s="4">
        <v>1</v>
      </c>
      <c r="F12" s="4">
        <v>90</v>
      </c>
      <c r="G12" s="4">
        <v>90</v>
      </c>
      <c r="H12" s="4">
        <v>0.5</v>
      </c>
      <c r="I12" s="4">
        <v>0.5</v>
      </c>
      <c r="J12" s="4">
        <v>0</v>
      </c>
      <c r="K12" s="4">
        <v>2</v>
      </c>
      <c r="L12" s="4"/>
      <c r="M12" s="5">
        <v>0.72599999999999998</v>
      </c>
      <c r="N12" s="5">
        <v>1</v>
      </c>
      <c r="O12" s="5">
        <v>1.1000000000000001</v>
      </c>
      <c r="P12" s="5" t="b">
        <f>FALSE()</f>
        <v>0</v>
      </c>
      <c r="Q12" s="5" t="s">
        <v>171</v>
      </c>
      <c r="R12" s="5">
        <v>0.5</v>
      </c>
      <c r="S12" s="5">
        <v>1</v>
      </c>
    </row>
    <row r="13" spans="1:19" x14ac:dyDescent="0.3">
      <c r="A13" s="4" t="s">
        <v>172</v>
      </c>
      <c r="B13" s="4" t="s">
        <v>170</v>
      </c>
      <c r="C13" s="4" t="s">
        <v>163</v>
      </c>
      <c r="D13" s="4">
        <v>5</v>
      </c>
      <c r="E13" s="4">
        <v>1</v>
      </c>
      <c r="F13" s="4">
        <v>270</v>
      </c>
      <c r="G13" s="4">
        <v>90</v>
      </c>
      <c r="H13" s="4">
        <v>0.5</v>
      </c>
      <c r="I13" s="4">
        <v>0.5</v>
      </c>
      <c r="J13" s="4">
        <v>0</v>
      </c>
      <c r="K13" s="4">
        <v>2</v>
      </c>
      <c r="L13" s="4"/>
      <c r="M13" s="5">
        <v>0.72599999999999998</v>
      </c>
      <c r="N13" s="5">
        <v>1</v>
      </c>
      <c r="O13" s="5">
        <v>1.1000000000000001</v>
      </c>
      <c r="P13" s="5" t="b">
        <f>FALSE()</f>
        <v>0</v>
      </c>
      <c r="Q13" s="5" t="s">
        <v>171</v>
      </c>
      <c r="R13" s="5">
        <v>0.5</v>
      </c>
      <c r="S13" s="5">
        <v>1</v>
      </c>
    </row>
    <row r="14" spans="1:19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5"/>
      <c r="N14" s="5"/>
      <c r="O14" s="5"/>
      <c r="P14" s="5"/>
      <c r="Q14" s="5"/>
      <c r="R14" s="5"/>
      <c r="S14" s="5"/>
    </row>
    <row r="15" spans="1:19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5"/>
      <c r="N15" s="5"/>
      <c r="O15" s="5"/>
      <c r="P15" s="5"/>
      <c r="Q15" s="5"/>
      <c r="R15" s="5"/>
      <c r="S15" s="5"/>
    </row>
    <row r="16" spans="1:19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N16" s="5"/>
      <c r="O16" s="5"/>
      <c r="P16" s="5"/>
      <c r="Q16" s="5"/>
      <c r="R16" s="5"/>
      <c r="S16" s="5"/>
    </row>
    <row r="17" spans="1:19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5"/>
      <c r="N17" s="5"/>
      <c r="O17" s="5"/>
      <c r="P17" s="5"/>
      <c r="Q17" s="5"/>
      <c r="R17" s="5"/>
      <c r="S17" s="5"/>
    </row>
    <row r="18" spans="1:19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5"/>
      <c r="N18" s="5"/>
      <c r="O18" s="5"/>
      <c r="P18" s="5"/>
      <c r="Q18" s="5"/>
      <c r="R18" s="5"/>
      <c r="S18" s="5"/>
    </row>
    <row r="19" spans="1:19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5"/>
      <c r="N19" s="5"/>
      <c r="O19" s="5"/>
      <c r="P19" s="5"/>
      <c r="Q19" s="5"/>
      <c r="R19" s="5"/>
      <c r="S19" s="5"/>
    </row>
    <row r="20" spans="1:19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5"/>
      <c r="N20" s="5"/>
      <c r="O20" s="5"/>
      <c r="P20" s="5"/>
      <c r="Q20" s="5"/>
      <c r="R20" s="5"/>
      <c r="S20" s="5"/>
    </row>
    <row r="21" spans="1:19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5"/>
      <c r="N21" s="5"/>
      <c r="O21" s="5"/>
      <c r="P21" s="5"/>
      <c r="Q21" s="5"/>
      <c r="R21" s="5"/>
      <c r="S21" s="5"/>
    </row>
    <row r="22" spans="1:19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5"/>
      <c r="N22" s="5"/>
      <c r="O22" s="5"/>
      <c r="P22" s="5"/>
      <c r="Q22" s="5"/>
      <c r="R22" s="5"/>
      <c r="S22" s="5"/>
    </row>
    <row r="23" spans="1:19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5"/>
      <c r="N23" s="5"/>
      <c r="O23" s="5"/>
      <c r="P23" s="5"/>
      <c r="Q23" s="5"/>
      <c r="R23" s="5"/>
      <c r="S23" s="5"/>
    </row>
    <row r="24" spans="1:19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5"/>
      <c r="N24" s="5"/>
      <c r="O24" s="5"/>
      <c r="P24" s="5"/>
      <c r="Q24" s="5"/>
      <c r="R24" s="5"/>
      <c r="S24" s="5"/>
    </row>
    <row r="25" spans="1:19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5"/>
      <c r="N25" s="5"/>
      <c r="O25" s="5"/>
      <c r="P25" s="5"/>
      <c r="Q25" s="5"/>
      <c r="R25" s="5"/>
      <c r="S25" s="5"/>
    </row>
    <row r="26" spans="1:19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5"/>
      <c r="N26" s="5"/>
      <c r="O26" s="5"/>
      <c r="P26" s="5"/>
      <c r="Q26" s="5"/>
      <c r="R26" s="5"/>
      <c r="S26" s="5"/>
    </row>
    <row r="27" spans="1:19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N27" s="5"/>
      <c r="O27" s="5"/>
      <c r="P27" s="5"/>
      <c r="Q27" s="5"/>
      <c r="R27" s="5"/>
      <c r="S27" s="5"/>
    </row>
    <row r="28" spans="1:19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5"/>
      <c r="N28" s="5"/>
      <c r="O28" s="5"/>
      <c r="P28" s="5"/>
      <c r="Q28" s="5"/>
      <c r="R28" s="5"/>
      <c r="S28" s="5"/>
    </row>
    <row r="29" spans="1:19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5"/>
      <c r="N29" s="5"/>
      <c r="O29" s="5"/>
      <c r="P29" s="5"/>
      <c r="Q29" s="5"/>
      <c r="R29" s="5"/>
      <c r="S29" s="5"/>
    </row>
    <row r="30" spans="1:19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5"/>
      <c r="N30" s="5"/>
      <c r="O30" s="5"/>
      <c r="P30" s="5"/>
      <c r="Q30" s="5"/>
      <c r="R30" s="5"/>
      <c r="S30" s="5"/>
    </row>
    <row r="31" spans="1:19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5"/>
      <c r="N31" s="5"/>
      <c r="O31" s="5"/>
      <c r="P31" s="5"/>
      <c r="Q31" s="5"/>
      <c r="R31" s="5"/>
      <c r="S31" s="5"/>
    </row>
    <row r="32" spans="1:19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5"/>
      <c r="N32" s="5"/>
      <c r="O32" s="5"/>
      <c r="P32" s="5"/>
      <c r="Q32" s="5"/>
      <c r="R32" s="5"/>
      <c r="S32" s="5"/>
    </row>
    <row r="33" spans="1:19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5"/>
      <c r="N33" s="5"/>
      <c r="O33" s="5"/>
      <c r="P33" s="5"/>
      <c r="Q33" s="5"/>
      <c r="R33" s="5"/>
      <c r="S33" s="5"/>
    </row>
    <row r="34" spans="1:19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5"/>
      <c r="N34" s="5"/>
      <c r="O34" s="5"/>
      <c r="P34" s="5"/>
      <c r="Q34" s="5"/>
      <c r="R34" s="5"/>
      <c r="S34" s="5"/>
    </row>
    <row r="35" spans="1:19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5"/>
      <c r="N35" s="5"/>
      <c r="O35" s="5"/>
      <c r="P35" s="5"/>
      <c r="Q35" s="5"/>
      <c r="R35" s="5"/>
      <c r="S35" s="5"/>
    </row>
    <row r="36" spans="1:19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5"/>
      <c r="N36" s="5"/>
      <c r="O36" s="5"/>
      <c r="P36" s="5"/>
      <c r="Q36" s="5"/>
      <c r="R36" s="5"/>
      <c r="S36" s="5"/>
    </row>
    <row r="37" spans="1:19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5"/>
      <c r="N37" s="5"/>
      <c r="O37" s="5"/>
      <c r="P37" s="5"/>
      <c r="Q37" s="5"/>
      <c r="R37" s="5"/>
      <c r="S37" s="5"/>
    </row>
    <row r="38" spans="1:19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N38" s="5"/>
      <c r="O38" s="5"/>
      <c r="P38" s="5"/>
      <c r="Q38" s="5"/>
      <c r="R38" s="5"/>
      <c r="S38" s="5"/>
    </row>
    <row r="39" spans="1:19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5"/>
      <c r="N39" s="5"/>
      <c r="O39" s="5"/>
      <c r="P39" s="5"/>
      <c r="Q39" s="5"/>
      <c r="R39" s="5"/>
      <c r="S39" s="5"/>
    </row>
    <row r="40" spans="1:19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5"/>
      <c r="N40" s="5"/>
      <c r="O40" s="5"/>
      <c r="P40" s="5"/>
      <c r="Q40" s="5"/>
      <c r="R40" s="5"/>
      <c r="S40" s="5"/>
    </row>
    <row r="41" spans="1:19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5"/>
      <c r="N41" s="5"/>
      <c r="O41" s="5"/>
      <c r="P41" s="5"/>
      <c r="Q41" s="5"/>
      <c r="R41" s="5"/>
      <c r="S41" s="5"/>
    </row>
    <row r="42" spans="1:19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5"/>
      <c r="N42" s="5"/>
      <c r="O42" s="5"/>
      <c r="P42" s="5"/>
      <c r="Q42" s="5"/>
      <c r="R42" s="5"/>
      <c r="S42" s="5"/>
    </row>
    <row r="43" spans="1:19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5"/>
      <c r="N43" s="5"/>
      <c r="O43" s="5"/>
      <c r="P43" s="5"/>
      <c r="Q43" s="5"/>
      <c r="R43" s="5"/>
      <c r="S43" s="5"/>
    </row>
    <row r="44" spans="1:19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5"/>
      <c r="N44" s="5"/>
      <c r="O44" s="5"/>
      <c r="P44" s="5"/>
      <c r="Q44" s="5"/>
      <c r="R44" s="5"/>
      <c r="S44" s="5"/>
    </row>
    <row r="45" spans="1:19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5"/>
      <c r="N45" s="5"/>
      <c r="O45" s="5"/>
      <c r="P45" s="5"/>
      <c r="Q45" s="5"/>
      <c r="R45" s="5"/>
      <c r="S45" s="5"/>
    </row>
    <row r="46" spans="1:19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5"/>
      <c r="N46" s="5"/>
      <c r="O46" s="5"/>
      <c r="P46" s="5"/>
      <c r="Q46" s="5"/>
      <c r="R46" s="5"/>
      <c r="S46" s="5"/>
    </row>
    <row r="47" spans="1:19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5"/>
      <c r="N47" s="5"/>
      <c r="O47" s="5"/>
      <c r="P47" s="5"/>
      <c r="Q47" s="5"/>
      <c r="R47" s="5"/>
      <c r="S47" s="5"/>
    </row>
    <row r="48" spans="1:19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5"/>
      <c r="N48" s="5"/>
      <c r="O48" s="5"/>
      <c r="P48" s="5"/>
      <c r="Q48" s="5"/>
      <c r="R48" s="5"/>
      <c r="S48" s="5"/>
    </row>
    <row r="49" spans="1:19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N49" s="5"/>
      <c r="O49" s="5"/>
      <c r="P49" s="5"/>
      <c r="Q49" s="5"/>
      <c r="R49" s="5"/>
      <c r="S49" s="5"/>
    </row>
    <row r="50" spans="1:19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5"/>
      <c r="N50" s="5"/>
      <c r="O50" s="5"/>
      <c r="P50" s="5"/>
      <c r="Q50" s="5"/>
      <c r="R50" s="5"/>
      <c r="S50" s="5"/>
    </row>
    <row r="51" spans="1:19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5"/>
      <c r="N51" s="5"/>
      <c r="O51" s="5"/>
      <c r="P51" s="5"/>
      <c r="Q51" s="5"/>
      <c r="R51" s="5"/>
      <c r="S51" s="5"/>
    </row>
    <row r="52" spans="1:19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5"/>
      <c r="N52" s="5"/>
      <c r="O52" s="5"/>
      <c r="P52" s="5"/>
      <c r="Q52" s="5"/>
      <c r="R52" s="5"/>
      <c r="S52" s="5"/>
    </row>
    <row r="53" spans="1:19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5"/>
      <c r="N53" s="5"/>
      <c r="O53" s="5"/>
      <c r="P53" s="5"/>
      <c r="Q53" s="5"/>
      <c r="R53" s="5"/>
      <c r="S53" s="5"/>
    </row>
    <row r="54" spans="1:19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5"/>
      <c r="N54" s="5"/>
      <c r="O54" s="5"/>
      <c r="P54" s="5"/>
      <c r="Q54" s="5"/>
      <c r="R54" s="5"/>
      <c r="S54" s="5"/>
    </row>
    <row r="55" spans="1:19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5"/>
      <c r="N55" s="5"/>
      <c r="O55" s="5"/>
      <c r="P55" s="5"/>
      <c r="Q55" s="5"/>
      <c r="R55" s="5"/>
      <c r="S55" s="5"/>
    </row>
  </sheetData>
  <dataValidations count="7">
    <dataValidation type="list" allowBlank="1" sqref="B6:B55" xr:uid="{00000000-0002-0000-0200-000000000000}">
      <formula1>"opaque,transparent"</formula1>
      <formula2>0</formula2>
    </dataValidation>
    <dataValidation type="list" allowBlank="1" sqref="C6:C55" xr:uid="{00000000-0002-0000-0200-000001000000}">
      <formula1>"OUTDOORS,GROUND"</formula1>
      <formula2>0</formula2>
    </dataValidation>
    <dataValidation type="list" allowBlank="1" sqref="P6:P55" xr:uid="{00000000-0002-0000-0200-000002000000}">
      <formula1>"TRUE,FALSE"</formula1>
      <formula2>0</formula2>
    </dataValidation>
    <dataValidation type="list" allowBlank="1" sqref="Q6:Q55" xr:uid="{00000000-0002-0000-0200-000003000000}">
      <formula1>"horizontal_overhang,vertical_overhang"</formula1>
      <formula2>0</formula2>
    </dataValidation>
    <dataValidation type="decimal" allowBlank="1" showErrorMessage="1" error="Value must be between 0 and 1" sqref="H6:I55 M6:M55" xr:uid="{00000000-0002-0000-0200-000004000000}">
      <formula1>0</formula1>
      <formula2>1</formula2>
    </dataValidation>
    <dataValidation type="decimal" allowBlank="1" showErrorMessage="1" error="Azimuth 0–360" sqref="F6:F55" xr:uid="{00000000-0002-0000-0200-000005000000}">
      <formula1>0</formula1>
      <formula2>360</formula2>
    </dataValidation>
    <dataValidation type="decimal" allowBlank="1" showErrorMessage="1" error="Tilt 0–180" sqref="G6:G55" xr:uid="{00000000-0002-0000-0200-000006000000}">
      <formula1>0</formula1>
      <formula2>180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9"/>
  <sheetViews>
    <sheetView zoomScaleNormal="100" workbookViewId="0">
      <pane xSplit="1" ySplit="4" topLeftCell="B53" activePane="bottomRight" state="frozen"/>
      <selection pane="topRight" activeCell="B1" sqref="B1"/>
      <selection pane="bottomLeft" activeCell="A5" sqref="A5"/>
      <selection pane="bottomRight" activeCell="R53" sqref="R53"/>
    </sheetView>
  </sheetViews>
  <sheetFormatPr defaultColWidth="8.6640625" defaultRowHeight="14.4" x14ac:dyDescent="0.3"/>
  <cols>
    <col min="1" max="13" width="12" customWidth="1"/>
  </cols>
  <sheetData>
    <row r="1" spans="1:13" ht="17.399999999999999" x14ac:dyDescent="0.3">
      <c r="A1" s="1" t="s">
        <v>173</v>
      </c>
    </row>
    <row r="2" spans="1:13" x14ac:dyDescent="0.3">
      <c r="A2" s="7" t="s">
        <v>174</v>
      </c>
    </row>
    <row r="4" spans="1:13" ht="30" customHeight="1" x14ac:dyDescent="0.3">
      <c r="A4" s="14" t="s">
        <v>175</v>
      </c>
      <c r="B4" s="14" t="s">
        <v>176</v>
      </c>
      <c r="C4" s="14" t="s">
        <v>177</v>
      </c>
      <c r="D4" s="14" t="s">
        <v>178</v>
      </c>
      <c r="E4" s="14" t="s">
        <v>179</v>
      </c>
      <c r="F4" s="14" t="s">
        <v>180</v>
      </c>
      <c r="G4" s="14" t="s">
        <v>181</v>
      </c>
      <c r="H4" s="14" t="s">
        <v>182</v>
      </c>
      <c r="I4" s="14" t="s">
        <v>183</v>
      </c>
      <c r="J4" s="14" t="s">
        <v>184</v>
      </c>
      <c r="K4" s="14" t="s">
        <v>185</v>
      </c>
      <c r="L4" s="14" t="s">
        <v>186</v>
      </c>
      <c r="M4" s="14" t="s">
        <v>187</v>
      </c>
    </row>
    <row r="5" spans="1:13" x14ac:dyDescent="0.3">
      <c r="A5" s="15">
        <v>0</v>
      </c>
      <c r="B5" s="16">
        <v>1</v>
      </c>
      <c r="C5" s="16">
        <v>1</v>
      </c>
      <c r="D5" s="16">
        <v>0.5</v>
      </c>
      <c r="E5" s="16">
        <v>0.5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</row>
    <row r="6" spans="1:13" x14ac:dyDescent="0.3">
      <c r="A6" s="15">
        <v>1</v>
      </c>
      <c r="B6" s="16">
        <v>1</v>
      </c>
      <c r="C6" s="16">
        <v>1</v>
      </c>
      <c r="D6" s="16">
        <v>0.5</v>
      </c>
      <c r="E6" s="16">
        <v>0.5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</row>
    <row r="7" spans="1:13" x14ac:dyDescent="0.3">
      <c r="A7" s="15">
        <v>2</v>
      </c>
      <c r="B7" s="16">
        <v>1</v>
      </c>
      <c r="C7" s="16">
        <v>1</v>
      </c>
      <c r="D7" s="16">
        <v>0.5</v>
      </c>
      <c r="E7" s="16">
        <v>0.5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</row>
    <row r="8" spans="1:13" x14ac:dyDescent="0.3">
      <c r="A8" s="15">
        <v>3</v>
      </c>
      <c r="B8" s="16">
        <v>1</v>
      </c>
      <c r="C8" s="16">
        <v>1</v>
      </c>
      <c r="D8" s="16">
        <v>0.5</v>
      </c>
      <c r="E8" s="16">
        <v>0.5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</row>
    <row r="9" spans="1:13" x14ac:dyDescent="0.3">
      <c r="A9" s="15">
        <v>4</v>
      </c>
      <c r="B9" s="16">
        <v>1</v>
      </c>
      <c r="C9" s="16">
        <v>1</v>
      </c>
      <c r="D9" s="16">
        <v>0.5</v>
      </c>
      <c r="E9" s="16">
        <v>0.5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</row>
    <row r="10" spans="1:13" x14ac:dyDescent="0.3">
      <c r="A10" s="15">
        <v>5</v>
      </c>
      <c r="B10" s="16">
        <v>1</v>
      </c>
      <c r="C10" s="16">
        <v>1</v>
      </c>
      <c r="D10" s="16">
        <v>0.5</v>
      </c>
      <c r="E10" s="16">
        <v>0.5</v>
      </c>
      <c r="F10" s="16">
        <v>0</v>
      </c>
      <c r="G10" s="16">
        <v>0</v>
      </c>
      <c r="H10" s="16">
        <v>1</v>
      </c>
      <c r="I10" s="16">
        <v>1</v>
      </c>
      <c r="J10" s="16">
        <v>1</v>
      </c>
      <c r="K10" s="16">
        <v>0</v>
      </c>
      <c r="L10" s="16">
        <v>1</v>
      </c>
      <c r="M10" s="16">
        <v>1</v>
      </c>
    </row>
    <row r="11" spans="1:13" x14ac:dyDescent="0.3">
      <c r="A11" s="15">
        <v>6</v>
      </c>
      <c r="B11" s="16">
        <v>0.5</v>
      </c>
      <c r="C11" s="16">
        <v>0.5</v>
      </c>
      <c r="D11" s="16">
        <v>0.5</v>
      </c>
      <c r="E11" s="16">
        <v>0.5</v>
      </c>
      <c r="F11" s="16">
        <v>0.15</v>
      </c>
      <c r="G11" s="16">
        <v>0.15</v>
      </c>
      <c r="H11" s="16">
        <v>1</v>
      </c>
      <c r="I11" s="16">
        <v>1</v>
      </c>
      <c r="J11" s="16">
        <v>1</v>
      </c>
      <c r="K11" s="16">
        <v>0</v>
      </c>
      <c r="L11" s="16">
        <v>1</v>
      </c>
      <c r="M11" s="16">
        <v>1</v>
      </c>
    </row>
    <row r="12" spans="1:13" x14ac:dyDescent="0.3">
      <c r="A12" s="15">
        <v>7</v>
      </c>
      <c r="B12" s="16">
        <v>0.5</v>
      </c>
      <c r="C12" s="16">
        <v>0.5</v>
      </c>
      <c r="D12" s="16">
        <v>0.7</v>
      </c>
      <c r="E12" s="16">
        <v>0.7</v>
      </c>
      <c r="F12" s="16">
        <v>0.15</v>
      </c>
      <c r="G12" s="16">
        <v>0.15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</row>
    <row r="13" spans="1:13" x14ac:dyDescent="0.3">
      <c r="A13" s="15">
        <v>8</v>
      </c>
      <c r="B13" s="16">
        <v>0.5</v>
      </c>
      <c r="C13" s="16">
        <v>0.5</v>
      </c>
      <c r="D13" s="16">
        <v>0.7</v>
      </c>
      <c r="E13" s="16">
        <v>0.7</v>
      </c>
      <c r="F13" s="16">
        <v>0.15</v>
      </c>
      <c r="G13" s="16">
        <v>0.15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</row>
    <row r="14" spans="1:13" x14ac:dyDescent="0.3">
      <c r="A14" s="15">
        <v>9</v>
      </c>
      <c r="B14" s="16">
        <v>0.1</v>
      </c>
      <c r="C14" s="16">
        <v>0.1</v>
      </c>
      <c r="D14" s="16">
        <v>0.5</v>
      </c>
      <c r="E14" s="16">
        <v>0.5</v>
      </c>
      <c r="F14" s="16">
        <v>0.15</v>
      </c>
      <c r="G14" s="16">
        <v>0.15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</row>
    <row r="15" spans="1:13" x14ac:dyDescent="0.3">
      <c r="A15" s="15">
        <v>10</v>
      </c>
      <c r="B15" s="16">
        <v>0.1</v>
      </c>
      <c r="C15" s="16">
        <v>0.1</v>
      </c>
      <c r="D15" s="16">
        <v>0.5</v>
      </c>
      <c r="E15" s="16">
        <v>0.5</v>
      </c>
      <c r="F15" s="16">
        <v>0.05</v>
      </c>
      <c r="G15" s="16">
        <v>0.05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</row>
    <row r="16" spans="1:13" x14ac:dyDescent="0.3">
      <c r="A16" s="15">
        <v>11</v>
      </c>
      <c r="B16" s="16">
        <v>0.1</v>
      </c>
      <c r="C16" s="16">
        <v>0.1</v>
      </c>
      <c r="D16" s="16">
        <v>0.6</v>
      </c>
      <c r="E16" s="16">
        <v>0.6</v>
      </c>
      <c r="F16" s="16">
        <v>0.05</v>
      </c>
      <c r="G16" s="16">
        <v>0.05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</row>
    <row r="17" spans="1:13" x14ac:dyDescent="0.3">
      <c r="A17" s="15">
        <v>12</v>
      </c>
      <c r="B17" s="16">
        <v>0.1</v>
      </c>
      <c r="C17" s="16">
        <v>0.1</v>
      </c>
      <c r="D17" s="16">
        <v>0.6</v>
      </c>
      <c r="E17" s="16">
        <v>0.6</v>
      </c>
      <c r="F17" s="16">
        <v>0.05</v>
      </c>
      <c r="G17" s="16">
        <v>0.05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</row>
    <row r="18" spans="1:13" x14ac:dyDescent="0.3">
      <c r="A18" s="15">
        <v>13</v>
      </c>
      <c r="B18" s="16">
        <v>0.2</v>
      </c>
      <c r="C18" s="16">
        <v>0.2</v>
      </c>
      <c r="D18" s="16">
        <v>0.6</v>
      </c>
      <c r="E18" s="16">
        <v>0.6</v>
      </c>
      <c r="F18" s="16">
        <v>0.05</v>
      </c>
      <c r="G18" s="16">
        <v>0.05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</row>
    <row r="19" spans="1:13" x14ac:dyDescent="0.3">
      <c r="A19" s="15">
        <v>14</v>
      </c>
      <c r="B19" s="16">
        <v>0.2</v>
      </c>
      <c r="C19" s="16">
        <v>0.2</v>
      </c>
      <c r="D19" s="16">
        <v>0.6</v>
      </c>
      <c r="E19" s="16">
        <v>0.6</v>
      </c>
      <c r="F19" s="16">
        <v>0.05</v>
      </c>
      <c r="G19" s="16">
        <v>0.05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</row>
    <row r="20" spans="1:13" x14ac:dyDescent="0.3">
      <c r="A20" s="15">
        <v>15</v>
      </c>
      <c r="B20" s="16">
        <v>0.2</v>
      </c>
      <c r="C20" s="16">
        <v>0.2</v>
      </c>
      <c r="D20" s="16">
        <v>0.5</v>
      </c>
      <c r="E20" s="16">
        <v>0.5</v>
      </c>
      <c r="F20" s="16">
        <v>0.05</v>
      </c>
      <c r="G20" s="16">
        <v>0.05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</row>
    <row r="21" spans="1:13" x14ac:dyDescent="0.3">
      <c r="A21" s="15">
        <v>16</v>
      </c>
      <c r="B21" s="16">
        <v>0.5</v>
      </c>
      <c r="C21" s="16">
        <v>0.5</v>
      </c>
      <c r="D21" s="16">
        <v>0.5</v>
      </c>
      <c r="E21" s="16">
        <v>0.5</v>
      </c>
      <c r="F21" s="16">
        <v>0.2</v>
      </c>
      <c r="G21" s="16">
        <v>0.2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</row>
    <row r="22" spans="1:13" x14ac:dyDescent="0.3">
      <c r="A22" s="15">
        <v>17</v>
      </c>
      <c r="B22" s="16">
        <v>0.5</v>
      </c>
      <c r="C22" s="16">
        <v>0.5</v>
      </c>
      <c r="D22" s="16">
        <v>0.7</v>
      </c>
      <c r="E22" s="16">
        <v>0.7</v>
      </c>
      <c r="F22" s="16">
        <v>0.2</v>
      </c>
      <c r="G22" s="16">
        <v>0.2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</row>
    <row r="23" spans="1:13" x14ac:dyDescent="0.3">
      <c r="A23" s="15">
        <v>18</v>
      </c>
      <c r="B23" s="16">
        <v>0.5</v>
      </c>
      <c r="C23" s="16">
        <v>0.5</v>
      </c>
      <c r="D23" s="16">
        <v>0.7</v>
      </c>
      <c r="E23" s="16">
        <v>0.7</v>
      </c>
      <c r="F23" s="16">
        <v>0.2</v>
      </c>
      <c r="G23" s="16">
        <v>0.2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</row>
    <row r="24" spans="1:13" x14ac:dyDescent="0.3">
      <c r="A24" s="15">
        <v>19</v>
      </c>
      <c r="B24" s="16">
        <v>0.8</v>
      </c>
      <c r="C24" s="16">
        <v>0.8</v>
      </c>
      <c r="D24" s="16">
        <v>0.8</v>
      </c>
      <c r="E24" s="16">
        <v>0.8</v>
      </c>
      <c r="F24" s="16">
        <v>0.2</v>
      </c>
      <c r="G24" s="16">
        <v>0.2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</row>
    <row r="25" spans="1:13" x14ac:dyDescent="0.3">
      <c r="A25" s="15">
        <v>20</v>
      </c>
      <c r="B25" s="16">
        <v>0.8</v>
      </c>
      <c r="C25" s="16">
        <v>0.8</v>
      </c>
      <c r="D25" s="16">
        <v>0.8</v>
      </c>
      <c r="E25" s="16">
        <v>0.8</v>
      </c>
      <c r="F25" s="16">
        <v>0.2</v>
      </c>
      <c r="G25" s="16">
        <v>0.2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</row>
    <row r="26" spans="1:13" x14ac:dyDescent="0.3">
      <c r="A26" s="15">
        <v>21</v>
      </c>
      <c r="B26" s="16">
        <v>0.8</v>
      </c>
      <c r="C26" s="16">
        <v>0.8</v>
      </c>
      <c r="D26" s="16">
        <v>0.8</v>
      </c>
      <c r="E26" s="16">
        <v>0.8</v>
      </c>
      <c r="F26" s="16">
        <v>0.2</v>
      </c>
      <c r="G26" s="16">
        <v>0.2</v>
      </c>
      <c r="H26" s="16">
        <v>1</v>
      </c>
      <c r="I26" s="16">
        <v>1</v>
      </c>
      <c r="J26" s="16">
        <v>1</v>
      </c>
      <c r="K26" s="16">
        <v>0</v>
      </c>
      <c r="L26" s="16">
        <v>1</v>
      </c>
      <c r="M26" s="16">
        <v>1</v>
      </c>
    </row>
    <row r="27" spans="1:13" x14ac:dyDescent="0.3">
      <c r="A27" s="15">
        <v>22</v>
      </c>
      <c r="B27" s="16">
        <v>1</v>
      </c>
      <c r="C27" s="16">
        <v>1</v>
      </c>
      <c r="D27" s="16">
        <v>0.6</v>
      </c>
      <c r="E27" s="16">
        <v>0.6</v>
      </c>
      <c r="F27" s="16">
        <v>0.15</v>
      </c>
      <c r="G27" s="16">
        <v>0.15</v>
      </c>
      <c r="H27" s="16">
        <v>1</v>
      </c>
      <c r="I27" s="16">
        <v>1</v>
      </c>
      <c r="J27" s="16">
        <v>1</v>
      </c>
      <c r="K27" s="16">
        <v>0</v>
      </c>
      <c r="L27" s="16">
        <v>1</v>
      </c>
      <c r="M27" s="16">
        <v>1</v>
      </c>
    </row>
    <row r="28" spans="1:13" x14ac:dyDescent="0.3">
      <c r="A28" s="15">
        <v>23</v>
      </c>
      <c r="B28" s="16">
        <v>1</v>
      </c>
      <c r="C28" s="16">
        <v>1</v>
      </c>
      <c r="D28" s="16">
        <v>0.6</v>
      </c>
      <c r="E28" s="16">
        <v>0.6</v>
      </c>
      <c r="F28" s="16">
        <v>0.15</v>
      </c>
      <c r="G28" s="16">
        <v>0.15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</row>
    <row r="29" spans="1:13" x14ac:dyDescent="0.3">
      <c r="A29" s="7" t="s">
        <v>188</v>
      </c>
    </row>
  </sheetData>
  <dataValidations count="1">
    <dataValidation type="decimal" showErrorMessage="1" error="Profile values must be between 0 and 1" sqref="B5:M2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zoomScaleNormal="100" workbookViewId="0">
      <selection activeCell="B28" sqref="B28"/>
    </sheetView>
  </sheetViews>
  <sheetFormatPr defaultColWidth="8.6640625" defaultRowHeight="14.4" x14ac:dyDescent="0.3"/>
  <cols>
    <col min="1" max="1" width="34" customWidth="1"/>
    <col min="2" max="3" width="16" customWidth="1"/>
    <col min="4" max="4" width="18" customWidth="1"/>
    <col min="5" max="5" width="20" customWidth="1"/>
  </cols>
  <sheetData>
    <row r="1" spans="1:5" ht="17.399999999999999" x14ac:dyDescent="0.3">
      <c r="A1" s="1" t="s">
        <v>189</v>
      </c>
    </row>
    <row r="2" spans="1:5" x14ac:dyDescent="0.3">
      <c r="A2" s="10" t="s">
        <v>190</v>
      </c>
      <c r="B2" s="9"/>
      <c r="C2" s="9"/>
    </row>
    <row r="3" spans="1:5" x14ac:dyDescent="0.3">
      <c r="A3" s="3" t="s">
        <v>191</v>
      </c>
      <c r="B3" s="17">
        <f>Building!$C$15</f>
        <v>120</v>
      </c>
      <c r="C3" s="3" t="s">
        <v>58</v>
      </c>
    </row>
    <row r="4" spans="1:5" x14ac:dyDescent="0.3">
      <c r="A4" s="3" t="s">
        <v>192</v>
      </c>
      <c r="B4" s="17">
        <f>SUMIFS(Surfaces!$D$6:$D$55,Surfaces!$B$6:$B$55,"opaque",Surfaces!$C$6:$C$55,"OUTDOORS")</f>
        <v>180</v>
      </c>
      <c r="C4" s="3" t="s">
        <v>58</v>
      </c>
    </row>
    <row r="5" spans="1:5" x14ac:dyDescent="0.3">
      <c r="A5" s="3" t="s">
        <v>193</v>
      </c>
      <c r="B5" s="17">
        <f>SUMIFS(Surfaces!$D$6:$D$55,Surfaces!$B$6:$B$55,"opaque",Surfaces!$C$6:$C$55,"GROUND")</f>
        <v>0</v>
      </c>
      <c r="C5" s="3" t="s">
        <v>58</v>
      </c>
    </row>
    <row r="6" spans="1:5" x14ac:dyDescent="0.3">
      <c r="A6" s="3" t="s">
        <v>194</v>
      </c>
      <c r="B6" s="17">
        <f>SUMIFS(Surfaces!$D$6:$D$55,Surfaces!$B$6:$B$55,"transparent")</f>
        <v>8</v>
      </c>
      <c r="C6" s="3" t="s">
        <v>58</v>
      </c>
    </row>
    <row r="7" spans="1:5" x14ac:dyDescent="0.3">
      <c r="A7" s="3" t="s">
        <v>195</v>
      </c>
      <c r="B7" s="17">
        <f>SUM(Surfaces!$D$6:$D$55)</f>
        <v>188</v>
      </c>
      <c r="C7" s="3" t="s">
        <v>58</v>
      </c>
    </row>
    <row r="8" spans="1:5" x14ac:dyDescent="0.3">
      <c r="A8" s="3" t="s">
        <v>196</v>
      </c>
      <c r="B8" s="18">
        <f>IF(B3&gt;0,B6/B3,0)</f>
        <v>6.6666666666666666E-2</v>
      </c>
      <c r="C8" s="3"/>
    </row>
    <row r="9" spans="1:5" x14ac:dyDescent="0.3">
      <c r="A9" s="10" t="s">
        <v>197</v>
      </c>
      <c r="B9" s="9"/>
      <c r="C9" s="9"/>
    </row>
    <row r="10" spans="1:5" x14ac:dyDescent="0.3">
      <c r="A10" s="3" t="s">
        <v>198</v>
      </c>
      <c r="B10" s="17">
        <f>SUMPRODUCT(Surfaces!$D$6:$D$55,Surfaces!$E$6:$E$55)</f>
        <v>188</v>
      </c>
      <c r="C10" s="3" t="s">
        <v>102</v>
      </c>
    </row>
    <row r="11" spans="1:5" x14ac:dyDescent="0.3">
      <c r="A11" s="3" t="s">
        <v>199</v>
      </c>
      <c r="B11" s="17">
        <f>Building!$C$33</f>
        <v>2</v>
      </c>
      <c r="C11" s="3" t="s">
        <v>102</v>
      </c>
    </row>
    <row r="12" spans="1:5" x14ac:dyDescent="0.3">
      <c r="A12" s="3" t="s">
        <v>200</v>
      </c>
      <c r="B12" s="17">
        <f>B10+B11</f>
        <v>190</v>
      </c>
      <c r="C12" s="3" t="s">
        <v>102</v>
      </c>
    </row>
    <row r="13" spans="1:5" x14ac:dyDescent="0.3">
      <c r="A13" s="3" t="s">
        <v>201</v>
      </c>
      <c r="B13" s="17">
        <f>IF(B7&gt;0,B10/B7,0)</f>
        <v>1</v>
      </c>
      <c r="C13" s="3" t="s">
        <v>202</v>
      </c>
    </row>
    <row r="14" spans="1:5" x14ac:dyDescent="0.3">
      <c r="A14" s="3" t="s">
        <v>203</v>
      </c>
      <c r="B14" s="17">
        <f>IF(B3&gt;0,B12/B3,0)</f>
        <v>1.5833333333333333</v>
      </c>
      <c r="C14" s="3" t="s">
        <v>202</v>
      </c>
    </row>
    <row r="16" spans="1:5" x14ac:dyDescent="0.3">
      <c r="A16" s="10" t="s">
        <v>204</v>
      </c>
      <c r="B16" s="9"/>
      <c r="C16" s="9"/>
      <c r="D16" s="9"/>
      <c r="E16" s="9"/>
    </row>
    <row r="17" spans="1:5" x14ac:dyDescent="0.3">
      <c r="A17" s="8" t="s">
        <v>205</v>
      </c>
      <c r="B17" s="8" t="s">
        <v>206</v>
      </c>
      <c r="C17" s="8" t="s">
        <v>207</v>
      </c>
      <c r="D17" s="8" t="s">
        <v>208</v>
      </c>
      <c r="E17" s="8" t="s">
        <v>209</v>
      </c>
    </row>
    <row r="18" spans="1:5" x14ac:dyDescent="0.3">
      <c r="A18" s="6" t="s">
        <v>210</v>
      </c>
      <c r="B18" s="19">
        <v>0</v>
      </c>
      <c r="C18" s="20">
        <f>SUMIFS(Surfaces!$D$6:$D$55,Surfaces!$B$6:$B$55,"opaque",Surfaces!$F$6:$F$55,B18,Surfaces!$G$6:$G$55,90)</f>
        <v>30</v>
      </c>
      <c r="D18" s="20">
        <f>SUMIFS(Surfaces!$D$6:$D$55,Surfaces!$B$6:$B$55,"transparent",Surfaces!$F$6:$F$55,B18,Surfaces!$G$6:$G$55,90)</f>
        <v>0</v>
      </c>
      <c r="E18" s="18">
        <f>IF(C18+D18&gt;0,D18/(C18+D18),0)</f>
        <v>0</v>
      </c>
    </row>
    <row r="19" spans="1:5" x14ac:dyDescent="0.3">
      <c r="A19" s="6" t="s">
        <v>211</v>
      </c>
      <c r="B19" s="19">
        <v>90</v>
      </c>
      <c r="C19" s="20">
        <f>SUMIFS(Surfaces!$D$6:$D$55,Surfaces!$B$6:$B$55,"opaque",Surfaces!$F$6:$F$55,B19,Surfaces!$G$6:$G$55,90)</f>
        <v>30</v>
      </c>
      <c r="D19" s="20">
        <f>SUMIFS(Surfaces!$D$6:$D$55,Surfaces!$B$6:$B$55,"transparent",Surfaces!$F$6:$F$55,B19,Surfaces!$G$6:$G$55,90)</f>
        <v>3</v>
      </c>
      <c r="E19" s="18">
        <f>IF(C19+D19&gt;0,D19/(C19+D19),0)</f>
        <v>9.0909090909090912E-2</v>
      </c>
    </row>
    <row r="20" spans="1:5" x14ac:dyDescent="0.3">
      <c r="A20" s="6" t="s">
        <v>212</v>
      </c>
      <c r="B20" s="19">
        <v>180</v>
      </c>
      <c r="C20" s="20">
        <f>SUMIFS(Surfaces!$D$6:$D$55,Surfaces!$B$6:$B$55,"opaque",Surfaces!$F$6:$F$55,B20,Surfaces!$G$6:$G$55,90)</f>
        <v>30</v>
      </c>
      <c r="D20" s="20">
        <f>SUMIFS(Surfaces!$D$6:$D$55,Surfaces!$B$6:$B$55,"transparent",Surfaces!$F$6:$F$55,B20,Surfaces!$G$6:$G$55,90)</f>
        <v>0</v>
      </c>
      <c r="E20" s="18">
        <f>IF(C20+D20&gt;0,D20/(C20+D20),0)</f>
        <v>0</v>
      </c>
    </row>
    <row r="21" spans="1:5" x14ac:dyDescent="0.3">
      <c r="A21" s="6" t="s">
        <v>213</v>
      </c>
      <c r="B21" s="19">
        <v>270</v>
      </c>
      <c r="C21" s="20">
        <f>SUMIFS(Surfaces!$D$6:$D$55,Surfaces!$B$6:$B$55,"opaque",Surfaces!$F$6:$F$55,B21,Surfaces!$G$6:$G$55,90)</f>
        <v>30</v>
      </c>
      <c r="D21" s="20">
        <f>SUMIFS(Surfaces!$D$6:$D$55,Surfaces!$B$6:$B$55,"transparent",Surfaces!$F$6:$F$55,B21,Surfaces!$G$6:$G$55,90)</f>
        <v>5</v>
      </c>
      <c r="E21" s="18">
        <f>IF(C21+D21&gt;0,D21/(C21+D21),0)</f>
        <v>0.14285714285714285</v>
      </c>
    </row>
    <row r="23" spans="1:5" x14ac:dyDescent="0.3">
      <c r="A23" s="7" t="s">
        <v>214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ef948009-cbc3-4cd9-8a05-ef48bc8e37c9}" enabled="1" method="Privileged" siteId="{f10c1d1d-508f-464b-8c24-087b7206495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Building</vt:lpstr>
      <vt:lpstr>Surfaces</vt:lpstr>
      <vt:lpstr>Profiles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Alessandro Zabeo</cp:lastModifiedBy>
  <cp:revision>1</cp:revision>
  <dcterms:created xsi:type="dcterms:W3CDTF">2026-10-01T10:48:01Z</dcterms:created>
  <dcterms:modified xsi:type="dcterms:W3CDTF">2026-10-01T11:11:40Z</dcterms:modified>
  <dc:language>en-US</dc:language>
</cp:coreProperties>
</file>